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shovan5795/Desktop/evaluation_gst26_jul7/"/>
    </mc:Choice>
  </mc:AlternateContent>
  <xr:revisionPtr revIDLastSave="0" documentId="13_ncr:1_{C6025A0F-D9A6-0548-B9EF-6A178BB41401}" xr6:coauthVersionLast="47" xr6:coauthVersionMax="47" xr10:uidLastSave="{00000000-0000-0000-0000-000000000000}"/>
  <bookViews>
    <workbookView xWindow="0" yWindow="660" windowWidth="29400" windowHeight="18460" activeTab="2" xr2:uid="{BD74961B-E6AC-E24B-83D5-79DBE6C8A133}"/>
  </bookViews>
  <sheets>
    <sheet name="Set1_5Abs" sheetId="1" r:id="rId1"/>
    <sheet name="Set1_Annot_rests" sheetId="3" r:id="rId2"/>
    <sheet name="Set2" sheetId="6" r:id="rId3"/>
    <sheet name="Rahi" sheetId="8" r:id="rId4"/>
    <sheet name="10_abstracts" sheetId="9" r:id="rId5"/>
    <sheet name="Error" sheetId="10" r:id="rId6"/>
    <sheet name="P R F1" sheetId="5" r:id="rId7"/>
  </sheets>
  <definedNames>
    <definedName name="_xlnm._FilterDatabase" localSheetId="4" hidden="1">'10_abstracts'!$A$1:$L$143</definedName>
    <definedName name="_xlnm._FilterDatabase" localSheetId="3" hidden="1">Rahi!$A$1:$N$625</definedName>
    <definedName name="_xlnm._FilterDatabase" localSheetId="0" hidden="1">Set1_5Abs!$A$1:$O$116</definedName>
    <definedName name="_xlnm._FilterDatabase" localSheetId="1" hidden="1">Set1_Annot_rests!$A$1:$M$381</definedName>
    <definedName name="_xlnm._FilterDatabase" localSheetId="2" hidden="1">'Set2'!$A$1:$I$555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9" i="5" l="1"/>
  <c r="F9" i="5"/>
  <c r="E9" i="5"/>
  <c r="G3" i="5"/>
  <c r="G4" i="5"/>
  <c r="G5" i="5"/>
  <c r="G6" i="5"/>
  <c r="G7" i="5"/>
  <c r="G8" i="5"/>
  <c r="G2" i="5"/>
  <c r="F3" i="5"/>
  <c r="F4" i="5"/>
  <c r="F5" i="5"/>
  <c r="F6" i="5"/>
  <c r="F7" i="5"/>
  <c r="F8" i="5"/>
  <c r="F2" i="5"/>
  <c r="E3" i="5"/>
  <c r="E4" i="5"/>
  <c r="E5" i="5"/>
  <c r="E6" i="5"/>
  <c r="E7" i="5"/>
  <c r="E8" i="5"/>
  <c r="E2" i="5"/>
  <c r="O12" i="5"/>
  <c r="Q13" i="5"/>
  <c r="Q14" i="5"/>
  <c r="Q16" i="5"/>
  <c r="P13" i="5"/>
  <c r="P14" i="5"/>
  <c r="P15" i="5"/>
  <c r="P16" i="5"/>
  <c r="P12" i="5"/>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2" i="9"/>
  <c r="N2" i="8"/>
  <c r="O13" i="5"/>
  <c r="O14" i="5"/>
  <c r="O15" i="5"/>
  <c r="O16" i="5"/>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M2" i="8"/>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L6" i="3"/>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2" i="1"/>
  <c r="L2" i="3"/>
  <c r="L3" i="3"/>
  <c r="L4" i="3"/>
  <c r="L5"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Q15" i="5" l="1"/>
  <c r="Q12" i="5"/>
</calcChain>
</file>

<file path=xl/sharedStrings.xml><?xml version="1.0" encoding="utf-8"?>
<sst xmlns="http://schemas.openxmlformats.org/spreadsheetml/2006/main" count="8970" uniqueCount="1997">
  <si>
    <t>Long chain base and fatty acid compositions of equine kidney sphingolipids.</t>
  </si>
  <si>
    <t>Equine renal glycopshingolipids were composed of galactocerebroside, glucocerbroside, ceramide dihexoside, ceramide trihexoside, sulfatide, globoside I, Forssman globoside, and hematoside.</t>
  </si>
  <si>
    <t>glycopshingolipids</t>
  </si>
  <si>
    <t>GCT</t>
  </si>
  <si>
    <t>galactocerebroside</t>
  </si>
  <si>
    <t>glucocerbroside</t>
  </si>
  <si>
    <t>GSD000090</t>
  </si>
  <si>
    <t>Glucosylceramide</t>
  </si>
  <si>
    <t>Exact</t>
  </si>
  <si>
    <t>ceramide dihexoside</t>
  </si>
  <si>
    <t>Partial</t>
  </si>
  <si>
    <t>ceramide trihexoside</t>
  </si>
  <si>
    <t>sulfatide</t>
  </si>
  <si>
    <t>globoside I</t>
  </si>
  <si>
    <t>Forssman globoside</t>
  </si>
  <si>
    <t>hematoside</t>
  </si>
  <si>
    <t>Free ceramide and sphingomyelin were also found in equine kidney.</t>
  </si>
  <si>
    <t>Their long chain bases consisted of sphingosine, dihydrosphingosine, C18-phytosphingosine, and C20-phytosphingosine, whereas the fatty acids were separated into two groups: nonhydroxy and hydroxy fatty acids.</t>
  </si>
  <si>
    <t>Ceramide monohexoside was separated into five spots by TLC on borax-impregnated plates.</t>
  </si>
  <si>
    <t>Ceramide monohexoside</t>
  </si>
  <si>
    <t>The major component of ceramide monohexoside was glucocerbroside which accounted for 46.6% of the total ceramide monohexoside and contained a ceramide consisting of phytosphingosines and hydroxy fatty acids.</t>
  </si>
  <si>
    <t>ceramide monohexoside</t>
  </si>
  <si>
    <t>The long chain bases of hematoside and sulfatide contained dihydroxy and trihydroxy bases in nearly equal ratios.</t>
  </si>
  <si>
    <t>On the other hand, the other glycosphingolipids contained mainly dihydroxy bases, though with significant amounts of trihydroxy bases.</t>
  </si>
  <si>
    <t>glycosphingolipids</t>
  </si>
  <si>
    <t>Free ceramides were separated into four groups by silicic acid column chromatography and the major ceramides were of two kinds, consisting of dihydroxy bases and nonhydroxy fatty acids (49.9% of the total ceramide) and of trihydroxy bases and nonhydroxy fatty acids (38.5% of the total ceramide).</t>
  </si>
  <si>
    <t>The minor ceramides contained predominantly hydroxy fatty acids.</t>
  </si>
  <si>
    <t>Neither trihydroxy bases nor hydroxy fatty acids were detected in spingomyelin.</t>
  </si>
  <si>
    <t>pmid</t>
  </si>
  <si>
    <t>sent_index</t>
  </si>
  <si>
    <t>sent_text</t>
  </si>
  <si>
    <t>Final_String</t>
  </si>
  <si>
    <t>Type</t>
  </si>
  <si>
    <t>GSD_ID</t>
  </si>
  <si>
    <t>GSD_Name</t>
  </si>
  <si>
    <t>Match</t>
  </si>
  <si>
    <t>Sulfatide</t>
  </si>
  <si>
    <t xml:space="preserve">GSD000162 </t>
  </si>
  <si>
    <t>Generic</t>
  </si>
  <si>
    <t>Glycolipid composition of human testis at different ages and the stereochemical configuration of seminolipid. 1.</t>
  </si>
  <si>
    <t>Glycolipid</t>
  </si>
  <si>
    <t>seminolipid</t>
  </si>
  <si>
    <t>The sterochemical configuration of glycerol moiety of seminolipid (1-O-alkyl-2-O-beta-D-(3'-sulfo) galactopyranosylglycerol: Ishizuka, I., Suzuki, A. and Yamakawa, T. (1973).</t>
  </si>
  <si>
    <t>glycerol moiety</t>
  </si>
  <si>
    <t>GST</t>
  </si>
  <si>
    <t>J.</t>
  </si>
  <si>
    <t>Biochem. 73, 77--87) from mammalian testis was determined by measurement of optical rotatory dispersion of alkylglyceryl ether moiety, establishing the final structure of the major glycolipid from mature testis of mammals as 1-O-alkyl-2-O-beta-D-(3'-sulfo)-galactopyranosyl-sn-glycerol. 2.</t>
  </si>
  <si>
    <t>moiety</t>
  </si>
  <si>
    <t>glycolipid</t>
  </si>
  <si>
    <t>1-O-alkyl-2-O-beta-D-(3'-sulfo)-galactopyranosyl-sn-glycerol</t>
  </si>
  <si>
    <t>The simple and sensitive modification of fluorometric determination of galactolipids and sphingolipids was described.</t>
  </si>
  <si>
    <t>This method does not require lipid extraction from silica gel of thin-layer chromatography, and allows a quantitative assessment of the sphingoglycolipids and galactosyl glycerides using a small amount of testicular tissue. 3.</t>
  </si>
  <si>
    <t>Various lipid classes from human testis of varying age groups were compared.</t>
  </si>
  <si>
    <t>The total lipid and seminolipid content was highest in adult (40-years-old) testis amounting to 39.0 mg and 158.7 nmol/g tissue, respectively.</t>
  </si>
  <si>
    <t>Seminolipid was not detected in infant (2 years old) or child (9 years old) and found only at the concentration of 25.3 nmol/g in the testis of aged (60--90 years of age) supporting the postulated relation of seminolipid with spermatogenesis and sexual activity.</t>
  </si>
  <si>
    <t>Seminolipid</t>
  </si>
  <si>
    <t>In contrast, ganglioside content was highest in the testis of aged probably reflecting fibrosis of the testis.</t>
  </si>
  <si>
    <t>ganglioside</t>
  </si>
  <si>
    <t>The main ganglioside was found to be hematoside with N-acetylneuraminic acid.</t>
  </si>
  <si>
    <t>hematoside with N-acetylneuraminic acid</t>
  </si>
  <si>
    <t>N-acetylneuraminic acid</t>
  </si>
  <si>
    <t>Sugar</t>
  </si>
  <si>
    <t>Gangliosides Gm1 and GD1a were also detected.</t>
  </si>
  <si>
    <t>Gangliosides Gm1</t>
  </si>
  <si>
    <t>GD1a</t>
  </si>
  <si>
    <t>GSD000083</t>
  </si>
  <si>
    <t>IgM M-protein in a patient with sensory-dominant neuropathy binds preferentially to polysialogangliosides.</t>
  </si>
  <si>
    <t>polysialogangliosides</t>
  </si>
  <si>
    <t>A 77-year-old man presented sensory-dominant neuropathy associated with IgM M-protein reacting with various gangliosides.</t>
  </si>
  <si>
    <t>gangliosides</t>
  </si>
  <si>
    <t>The M-protein bound to gangliosides with polysialosyl residue, such as GD1b, GD3, GT1b, GT3, GQ1b, and GQ1c.</t>
  </si>
  <si>
    <t>gangliosides with polysialosyl</t>
  </si>
  <si>
    <t>GD1b</t>
  </si>
  <si>
    <t>GSD000084</t>
  </si>
  <si>
    <t>GD3</t>
  </si>
  <si>
    <t>GSD000086</t>
  </si>
  <si>
    <t>GT1b</t>
  </si>
  <si>
    <t>GSD000101</t>
  </si>
  <si>
    <t>GT3</t>
  </si>
  <si>
    <t>GSD000104</t>
  </si>
  <si>
    <t>GQ1b</t>
  </si>
  <si>
    <t>GSD000096</t>
  </si>
  <si>
    <t>GQ1c</t>
  </si>
  <si>
    <t>GSD000098</t>
  </si>
  <si>
    <t>In addition, GD1a, GM3 and LM1, having a terminal monosialosyl epitope, were also recognized.</t>
  </si>
  <si>
    <t>GM3</t>
  </si>
  <si>
    <t>GSD000093</t>
  </si>
  <si>
    <t>terminal monosialosyl epitope</t>
  </si>
  <si>
    <t>Previously, Ilyas et al. described a similar case in which sensory symptoms were associated with IgM M-protein reacting with gangliosides containing a disialosyl group, such as GD3, GD1b, and GT1b, but not GM3 and GD1a.</t>
  </si>
  <si>
    <t>It is suggested that the reactivity of IgM M-protein with polysialogangliosides may be associated with the pathogenesis of sensory-dominant neuropathy.</t>
  </si>
  <si>
    <t>Isolation and structural characterization of a mono-sulfated isoglobotetraosylceramide, the first sulfoglycosphingolipid of the isoglobo-series, from rat kidney.</t>
  </si>
  <si>
    <t>mono-sulfated isoglobotetraosylceramide</t>
  </si>
  <si>
    <t>sulfoglycosphingolipid</t>
  </si>
  <si>
    <t>A novel sulfoglycosphingolipid based on the isoglobo-series core structure was isolated from rat kidney and purified by column chromatographies with DEAE-Sephadex and silica beads.</t>
  </si>
  <si>
    <t>The structure was characterized by solvolysis, compositional analysis, proton NMR spectroscopy, Fourier-transform infrared spectroscopy, methylation analysis and liquid secondary ion mass spectrometry (LSIMS).</t>
  </si>
  <si>
    <t>The characteristic fragment ions for a sulfate and a sulfated N-acetylhexosamine were observed in LSIMS spectra.</t>
  </si>
  <si>
    <t>sulfated N-acetylhexosamine</t>
  </si>
  <si>
    <t>The two-dimensional chemical-shift-correlated spectroscopy (COSY) and nuclear Overhauser enhancement spectroscopy experiments evidenced the presence of a 3-O-sulfated N-acetylgalactosamine and a Gal alpha 1-3Gal structure in the molecule.</t>
  </si>
  <si>
    <t>3-O-sulfated N-acetylgalactosamine</t>
  </si>
  <si>
    <t>Sequence</t>
  </si>
  <si>
    <t>The major ceramide consisted of 4-hydroxysphinganine linked to a C24 nonhydroxy fatty acid, deduced from both compositional analysis and LSIMS.</t>
  </si>
  <si>
    <t>From the above results, the following structure was established for this glycolipid: HSO3-3GalNAc beta 1-3Gal alpha 1-3Gal beta 1-4Glc beta 1-1Cer, isoglobotetraosylceramide (iGb4Cer) IV3-sulfate.</t>
  </si>
  <si>
    <t>isoglobotetraosylceramide IV3-sulfate</t>
  </si>
  <si>
    <t>iGb4Cer IV3-sulfate</t>
  </si>
  <si>
    <t>Rat kidney also contained globotetraosylceramide (Gb4Cer) IV3-sulfate which has a carbohydrate core identical to that from human kidney.</t>
  </si>
  <si>
    <t>carbohydrate core</t>
  </si>
  <si>
    <t>globotetraosylceramide IV3-sulfate</t>
  </si>
  <si>
    <t>Gb4Cer IV3-sulfate</t>
  </si>
  <si>
    <t>The yields of iGb4Cer IV3-sulfate and Gb4Cer IV3-sulfate were 0.27 and 0.07 nmol/g wet tissue, respectively.</t>
  </si>
  <si>
    <t>Differentiation of distinct catalytic species with the unique substrate, 3'-sulfo-N-acetyllactosamine in conjunction with other synthetic acceptors.</t>
  </si>
  <si>
    <t>3'-sulfo-N-acetyllactosamine</t>
  </si>
  <si>
    <t>Several N-acetyllactosamine (LacNAc) derivatives were tested as acceptors for alpha 1,3-L-fucosyltransferase present in human ovarian cancer sera and ovarian tumor.</t>
  </si>
  <si>
    <t>N-acetyllactosamine derivatives</t>
  </si>
  <si>
    <t>LacNAc derivatives</t>
  </si>
  <si>
    <t>The enzyme of the soluble fraction of tumor was purified to apparent homogeneity by chromatography on bovine IgG glycopeptide-Sepharose followed by Sephacryl S-200 (M(r) &lt; 67,000).</t>
  </si>
  <si>
    <t>As compared with 2'-methyl LacNAc, 3'-sulfo LacNAc was about 5-fold more sensitive in measuring alpha 1,3-fucosyltransferase in sera (Km, 3'-sulfo LacNAc, 0.12 mM; 2'-methyl LacNAc, 6.67 mM).</t>
  </si>
  <si>
    <t>2'-methyl LacNAc</t>
  </si>
  <si>
    <t>GSD000129</t>
  </si>
  <si>
    <t>N-acetyllactosamine (Type 2)</t>
  </si>
  <si>
    <t>3'-sulfo LacNAc</t>
  </si>
  <si>
    <t>When ovarian cancer serum was the enzyme source, either the sulfate group or a sialyl moiety at C-3' of LacNAc enhanced the acceptor ability (341 and 242%, respectively), whereas the sulfate group at C-2' or C-6' reduced the activity (22-36%); sulfate at C-6 or fucose at C-2' increased the activity (172 and 253%).</t>
  </si>
  <si>
    <t>LacNAc</t>
  </si>
  <si>
    <t>fucose</t>
  </si>
  <si>
    <t>The beta-benzylation of the reducing end, in general, increased the activity 2-3-fold.</t>
  </si>
  <si>
    <t>The enzyme of the soluble fraction of tumor exhibited more activity toward 3'-sulfo LacNAc (447%), 2'-fucosyl-LacNAc (436%), and 6-sulfo LacNAc (272%).</t>
  </si>
  <si>
    <t>2'-fucosyl-LacNAc</t>
  </si>
  <si>
    <t>6-sulfo LacNAc</t>
  </si>
  <si>
    <t>GSD000010</t>
  </si>
  <si>
    <t>6-Sulfo LacNac</t>
  </si>
  <si>
    <t>Very low activity was observed with 3'-sialyl LacNAc (12.4%), 2'-sulfo LacNAc (33%), and 6'-sulfo LacNAc (5%); Fuc alpha 1,2Gal beta 1,3GlcNAc beta-O-p-nitrophenyl (166%), 2-methyl Gal beta 1,3GlcNAc beta-O-benzyl (204%), and 3-sulfo Gal beta 1,3GlcNAc (415%) also acted as acceptors, indicating the coexistence of alpha 1,3- and alpha 1,4-fucosyltransferase.</t>
  </si>
  <si>
    <t>3'-sialyl LacNAc</t>
  </si>
  <si>
    <t>2'-sulfo LacNAc</t>
  </si>
  <si>
    <t>6'-sulfo LacNAc</t>
  </si>
  <si>
    <t>Fuc alpha 1,2Gal beta 1,3GlcNAc beta-O-p-nitrophenyl</t>
  </si>
  <si>
    <t>2-methyl Gal beta 1,3GlcNAc beta-O-benzyl</t>
  </si>
  <si>
    <t>3-sulfo Gal beta 1,3GlcNAc</t>
  </si>
  <si>
    <t>The tumor particulate enzyme behaved entirely different, exhibiting low activity with 3'-sulfo LacNAc (39%) and 2'-fucosyl-LacNAc (148%); 3'-sialyl, 6'-sulfo, 6-sulfo, or 2'-sulfo LacNAc were 3, 43, 53, and 10% active, respectively.</t>
  </si>
  <si>
    <t>Thus, the ovarian cancer serum alpha 1,3-fucosyltransferase acts equally well on H-type 2,3'-sialyl LacNAc and 3'-sulfo LacNAc, but not on H-type 1.</t>
  </si>
  <si>
    <t>H-type 2,3'-sialyl LacNAc</t>
  </si>
  <si>
    <t>H-type 1</t>
  </si>
  <si>
    <t>The enzyme of soluble tumor fraction acts on H-type 2,3'-sulfo LacNAc as well as H-type 1 but poorly on 3'-sialyl LacNAc.</t>
  </si>
  <si>
    <t>H-type 2,3'-sulfo LacNAc</t>
  </si>
  <si>
    <t>The tumor particulate enzyme acts on H-type 2 but poorly on 3'-sulfo or 3'-sialyl LacNAc and is inactive with H-type 1.</t>
  </si>
  <si>
    <t>H-type 2</t>
  </si>
  <si>
    <t>When normal serum was examined with synthetic acceptors, &gt; 80% activity was found as alpha 1,2-fucosyltransferase and the rest as alpha 1,3-fucosyltransferase.</t>
  </si>
  <si>
    <t>A screening of 21 ovarian cancer and 3 normal sera (3'-sulfo LacNAc as acceptor) showed 17-572% increase (average increase, 188%) of alpha 1,3-fucosyltransferase activity in cancer.(ABSTRACT TRUNCATED AT 400 WORDS).</t>
  </si>
  <si>
    <t>TP</t>
  </si>
  <si>
    <t>Comments</t>
  </si>
  <si>
    <t>Wrong type: Generic</t>
  </si>
  <si>
    <t>seminolipid (1-O-alkyl-2-O-beta-D-(3'-sulfo) galactopyranosylglycerol</t>
  </si>
  <si>
    <t>Sequence?</t>
  </si>
  <si>
    <t>TP?</t>
  </si>
  <si>
    <t>Too generic by Rene</t>
  </si>
  <si>
    <t>Gal alpha 1-3Gal</t>
  </si>
  <si>
    <t>HSO3-3GalNAc beta 1-3Gal alpha 1-3Gal beta 1-4Glc beta 1-1Cer</t>
  </si>
  <si>
    <t>FNs</t>
  </si>
  <si>
    <t>Too generic?</t>
  </si>
  <si>
    <t>H-type 3'-sulfo LacNAc</t>
  </si>
  <si>
    <t>Conjunction</t>
  </si>
  <si>
    <t>Yes</t>
  </si>
  <si>
    <t>globotetraosylceramide (Gb4Cer) IV3-sulfate</t>
  </si>
  <si>
    <t>N-acetyllactosamine (LacNAc) derivatives</t>
  </si>
  <si>
    <t>3'-sialyl, 6'-sulfo, 6-sulfo, or 2'-sulfo LacNAc</t>
  </si>
  <si>
    <t>H-type 2,3'-sialyl LacNAc and 3'-sulfo LacNAc</t>
  </si>
  <si>
    <t>3'-sulfo or 3'-sialyl LacNAc</t>
  </si>
  <si>
    <t>Conj_Term</t>
  </si>
  <si>
    <t>LM1</t>
  </si>
  <si>
    <t>FP</t>
  </si>
  <si>
    <t>Synonym of seminolipid</t>
  </si>
  <si>
    <t>None</t>
  </si>
  <si>
    <t>Evaluation_S</t>
  </si>
  <si>
    <t>Evaluation_T</t>
  </si>
  <si>
    <t>Not count</t>
  </si>
  <si>
    <t>Ataxic polyneuropathy and anti-Pr2 IgM kappa M proteinemia.</t>
  </si>
  <si>
    <t>A case of ataxic neuropathy associated with IgM kappa M proteinemia is reported.</t>
  </si>
  <si>
    <t>Double filtration plasmapheresis effectively treated the neuropathy.</t>
  </si>
  <si>
    <t>The IgM kappa antibody had anti-Pr2 cold agglutinin activity.</t>
  </si>
  <si>
    <t>We demonstrated reactivities of the IgM kappa antibody to sialosyl paragloboside, sialosyl lactosaminyl paragloboside, GT1b, GD1a, GD1b, GM3 and GD3 on high-performance thin-layer chromatography immunostaining and enzyme-linked immunosorbent assay, which is previously unreported antigenic specificity of the M proteins in cases of paraproteinemic neuropathy.</t>
  </si>
  <si>
    <t>sialosyl paragloboside</t>
  </si>
  <si>
    <t>Adult rat retina interneurons synthesize GD3: GD3 expression by these cells is regulated by cell-cell interactions.</t>
  </si>
  <si>
    <t>GD3, a ganglioside of the lactosyl series, is prevalent in rat retina neuronal cells.</t>
  </si>
  <si>
    <t>We studied here whether rat retina neurons synthesize their own surface GD3 or if they acquire it from Muller glia cells.</t>
  </si>
  <si>
    <t>We analyzed the activity of GD3 synthase and the in vivo labeling of gangliosides from N-[3H]acetylmannosamine in adult rat retinas after selective destruction of Muller glia cells with the gliotoxic alpha-D,L-aminoadipate (AAA).</t>
  </si>
  <si>
    <t>N-[3H]acetylmannosamine</t>
  </si>
  <si>
    <t>alpha-D,L-aminoadipate</t>
  </si>
  <si>
    <t>Immunostaining of rat retina sections and western blot analysis with an antivimentin antibody confirmed the gliotoxic effect of AAA.</t>
  </si>
  <si>
    <t>Neither GD3 synthase activity nor the in vivo labeling of GD3 and other gangliosides was significantly affected by AAA, indicating that neuronal cells synthesize their own GD3.</t>
  </si>
  <si>
    <t>We next analyzed the regulation of the expression of GD3 by these neurons in culture.</t>
  </si>
  <si>
    <t>About 80% of freshly dissociated cells from retina of 4-day-old rats (R4) immunoexpress surface GD3.</t>
  </si>
  <si>
    <t>After 3 days in dispersed cell culture conditions, GD3 expression was under the limit of detection in 80% of neuronal cells, indicating a failure of these cells to maintain the expression of surface GD3 in these experimental conditions.</t>
  </si>
  <si>
    <t>Most flat Muller glia-derived cells present in these cultures were GD3 positive.</t>
  </si>
  <si>
    <t>Surface GD3 was detected in approximately 60% of neuronal cells dissociated from R4 tissue that was developed in vitro as an organ culture for 3 days.</t>
  </si>
  <si>
    <t>Likewise, approximately 50% of neurites that had grown out from R4 retinal explants within 3 days in culture and whose neuronal character was indicated by immunoexpression of growth-associated protein GAP-43 were GD3 positive.</t>
  </si>
  <si>
    <t>These findings suggest that the tissue organization and/or specific interactions modulate GD3 expression in neuronal cells.</t>
  </si>
  <si>
    <t>Under dispersed-cell culture conditions, c-pathway gangliosides (GQ1c and GT1c), which are built up from the sialylation of GD3 and later completion of the oligosaccharide backbone, were detected in approximately 60% of neuronal cells, suggesting a maintenance of production of GD3 as an intermediate for gangliotetraosyl gangliosides.</t>
  </si>
  <si>
    <t>GT1c</t>
  </si>
  <si>
    <t>GSD000102</t>
  </si>
  <si>
    <t>oligosaccharide</t>
  </si>
  <si>
    <t>gangliotetraosyl gangliosides</t>
  </si>
  <si>
    <t>Extended type-1 chain glycosphingolipid antigens.</t>
  </si>
  <si>
    <t>type-1 chain glycosphingolipid antigens</t>
  </si>
  <si>
    <t>Isolation and characterization of trifucosyl-Leb antigen (III4V4VI2Fuc3Lc6).</t>
  </si>
  <si>
    <t>trifucosyl-Leb antigen</t>
  </si>
  <si>
    <t>GSD000173</t>
  </si>
  <si>
    <t>Trifucosyl Lewis b antigen</t>
  </si>
  <si>
    <t>A Lewis-b-active glycosphingolipid containing a repetitive type-1 chain carbohydrate core was isolated from human colonic adenocarcinoma cell line Colo205.</t>
  </si>
  <si>
    <t>type-1 chain carbohydrate core</t>
  </si>
  <si>
    <t>This glycosphingolipid was purified by HPLC and preparative high-performance thin-layer chromatography and its structure elucidated by positive-ion fast-atom-bombardment mass spectrometry with collision-induced disassociation, 1H-NMR spectroscopy and methylation analysis.</t>
  </si>
  <si>
    <t>glycosphingolipid</t>
  </si>
  <si>
    <t>The glycosphingolipid was found to be a trifucosylated derivative of this novel carbohydrate core, having the following structure: [formula; see text].</t>
  </si>
  <si>
    <t>Three dimensional structure of GD1b and GD1b-monolactone gangliosides in dimethylsulphoxide: a nuclear Overhauser effect investigation supported by molecular dynamics calculations.</t>
  </si>
  <si>
    <t>GD1b-monolactone gangliosides</t>
  </si>
  <si>
    <t>A comparative study on the conformational features of the oligosaccharide moiety of GD1b and GD1b lactone gangliosides, in dimethylsulphoxide, has been carried out by nuclear Overhauser effect investigation; the experimental interresidue contacts have been used for restrained molecular mechanics and dynamics calculations.</t>
  </si>
  <si>
    <t>oligosaccharide moiety</t>
  </si>
  <si>
    <t>GD1b lactone gangliosides</t>
  </si>
  <si>
    <t>For GD1b, the tetrasaccharide beta-GalNAc-(1----4)-[alpha-Neu5Ac-(2 ----8)-alpha-Neu5Ac-(2----3)]-beta-Gal has a circular arrangement leaving a highly hydrophobic region with seven hydrogens pointing towards the center.</t>
  </si>
  <si>
    <t>At one side of this region the three electron rich groups GalNAc--NH, external Neu5Ac--OH4 and internal Neu5Ac--COO- are grouped together; at the other side five polar groups (four hydroxy groups and the external Neu5Ac carboxylate) define a large annular hydrophilic region.</t>
  </si>
  <si>
    <t>external Neu5Ac</t>
  </si>
  <si>
    <t>The external Neu5Ac is close to the external Gal residue, and the external Neu5Ac--COO- is within van der Waals contact with the inner Neu5Ac-OH9 group.</t>
  </si>
  <si>
    <t>external Gal</t>
  </si>
  <si>
    <t>The beta-Gal-(1----3)-beta-GalNAc glycosidic linkage shows a high degree of freedom.</t>
  </si>
  <si>
    <t>beta-Gal-(1----3)-beta-GalNAc glycosidic linkage</t>
  </si>
  <si>
    <t>For GD1b-L, the trisaccharide beta-GalNAc-(1----4)-[alpha-Neu5Ac-(2----3)]-beta-Gal is disposed to forming rigid partially circular arrangement showing strong interresidue contacts between the inner Neu5Ac-H8 and both GalNAc-H1 and GalNAc-H5.</t>
  </si>
  <si>
    <t>GD1b-L</t>
  </si>
  <si>
    <t>The conformation of the lactone ring is the boat 9(A),2(B)B.</t>
  </si>
  <si>
    <t>The lactonization of the disialosyl residue induces a strong variation of the preexisting torsional glycosidic angles phi and psi, leaving the external Neu5Ac far from the external Gal.</t>
  </si>
  <si>
    <t>In both GD1b and GD1b lactone gangliosides, the conformation of the sialic acid side chain is the same as that of the free sialic acid in which the H7 is trans to H8 and gauche to H6, thus indicating that the presence of glycosidic and/or ester linkages does not affect the conformational properties of sialic acid.</t>
  </si>
  <si>
    <t>sialic acid</t>
  </si>
  <si>
    <t>Both GD1b and GD1b lactone containing sialic acid carboxylate anion(s) or undissociated carboxyl group(s) show the same three dimensional structure, indicating that the presence of charges does not affect the intrinsic conformational features of gangliosides.</t>
  </si>
  <si>
    <t>GD1b lactone</t>
  </si>
  <si>
    <t>Enhancing effects of bile salts on the degradation of glycosphingolipids by glycosidases from bacteria of the human fecal flora.</t>
  </si>
  <si>
    <t>Different concentrations of ionic and non-ionic detergents were examined for optimization of the in vitro degradations of intestinal glycosphingolipids by alpha- and beta-glycosidases from human fecal bacteria.</t>
  </si>
  <si>
    <t>In 5 mM Triton X-100 the enzymes hydrolyzed glycosphingolipids with lactoseries type 1 and 2 chains essentially to lactosylceramide (LacCer).</t>
  </si>
  <si>
    <t>lactoseries type 1</t>
  </si>
  <si>
    <t>lactosylceramide</t>
  </si>
  <si>
    <t>GSD000116</t>
  </si>
  <si>
    <t>Lactosylceramide</t>
  </si>
  <si>
    <t>In 5 mM sodium di- and trihydroxy bile salts lactosylceramide was degraded to glycosylceramide (GlcCer) in varying extent by enzymes from all five strains.</t>
  </si>
  <si>
    <t>glycosylceramide</t>
  </si>
  <si>
    <t>The minimal bile salt concentrations for optimal 1,4-beta-galactosidase activities varied between 1 and 20 mM, i.e., close to or above the critical micellar concentrations (cmc).</t>
  </si>
  <si>
    <t>Dihydroxy bile salts were the most efficient in promoting conversion of LacCer to GlcCer at concentrations below 10 mM and conjugation with a taurine residue did not markedly lower the GlcCer yield.</t>
  </si>
  <si>
    <t>LacCer</t>
  </si>
  <si>
    <t>GlcCer</t>
  </si>
  <si>
    <t>The optimal detergent concentrations for hydrolyses of the p-nitrophenyl (pnp) glycosides Gal beta 1-pnp and GalNAc alpha 1-pnp were approximately 0.05 mM for Triton X-100 and 0.5 mM for sodium taurodeoxycholate, i.e., clearly below their reported cmc values.</t>
  </si>
  <si>
    <t>Galabiosylceramide, globotria- and globotetraosylceramides, not degraded in the Triton X-100 micelles, were also resistant to hydrolysis using the sodium bile salts as detergents.</t>
  </si>
  <si>
    <t>Galabiosylceramide, globotria- and globotetraosylceramides</t>
  </si>
  <si>
    <t>In contrast, lactotetraosylceramide and isoglobotriaosylceramide were significantly more degraded by enzymes from a Ruminococcus gnavus strain and gangliotetraosylceramide by enzymes from a Bifidobacterium bifidum and a Bifidobacterium infantis strain using bile salt detergents.</t>
  </si>
  <si>
    <t>lactotetraosylceramide</t>
  </si>
  <si>
    <t>isoglobotriaosylceramide</t>
  </si>
  <si>
    <t>gangliotetraosylceramide</t>
  </si>
  <si>
    <t>GSD000019</t>
  </si>
  <si>
    <t>Asialo-GM1</t>
  </si>
  <si>
    <t>All strains but R. gnavus released terminal GalNAc from para-Forssman but not from the globotetraosylceramide or Forssman structures using 5 mM sodium deoxycholate as detergent.</t>
  </si>
  <si>
    <t>terminal GalNAc</t>
  </si>
  <si>
    <t>para-Forssman</t>
  </si>
  <si>
    <t>globotetraosylceramide</t>
  </si>
  <si>
    <t>GSD000087; GSD000088</t>
  </si>
  <si>
    <t>Globoside; Globotetraosylceramide</t>
  </si>
  <si>
    <t>Forssman structures</t>
  </si>
  <si>
    <t>GM1 desialylation by two Ruminococcus torques strains and the R. gnavus and B. bifidum strains were enhanced under identical conditions.</t>
  </si>
  <si>
    <t>GM1 desialylation</t>
  </si>
  <si>
    <t>We conclude that the observed effects on glycosphingolipid hydrolyses reflects variations in the micellar presentation of the substrates.</t>
  </si>
  <si>
    <t>In addition, detergents seem to have a direct stimulating effect on the glycosidases, however at concentrations 10-100-times below the ones optimal for glycolipid degradations.</t>
  </si>
  <si>
    <t>These results with optimized bile salt concentrations, further support our previous observations that these five fecal bacterial strains produce enzymes with selected specificities towards glycosphingolipid core chains of the lactoseries type 1 and 2.</t>
  </si>
  <si>
    <t>glycosphingolipid core chains</t>
  </si>
  <si>
    <t>lactoseries type 2</t>
  </si>
  <si>
    <t>Glycolipid changes in murine myelogenous leukemias: neutral glycolipids as markers for specific populations of leukemias.</t>
  </si>
  <si>
    <t>glycolipids</t>
  </si>
  <si>
    <t>We have studied the glycolipid composition of six different murine myelogenous leukemias as well as that of T-cell leukemias and normal spleen cells.</t>
  </si>
  <si>
    <t>Neutral and acidic lipid fractions were isolated by column chromatography on DEAE-Sephadex and analyzed by high-performance thin-layer chromatography (HPTLC) and an HPTLC overlay method.</t>
  </si>
  <si>
    <t>Murine myelogenous leukemias were found to contain globo- and ganglio-series neutral glycolipids, e.g., glucosylceramide (Glc-cer), lactosylceramide (Lac-cer), globotriaosylceramide (Gb3), globoside (Gb4), Forssman glycolipid (Gb5), and asialo-GM1 (GA1).</t>
  </si>
  <si>
    <t>ganglio-series neutral glycolipids</t>
  </si>
  <si>
    <t>glucosylceramide</t>
  </si>
  <si>
    <t>globotriaosylceramide</t>
  </si>
  <si>
    <t>GSD000089</t>
  </si>
  <si>
    <t>Globotriaosylceramide</t>
  </si>
  <si>
    <t>globoside</t>
  </si>
  <si>
    <t>Forssman glycolipid</t>
  </si>
  <si>
    <t>GSD000069</t>
  </si>
  <si>
    <t>asialo-GM1</t>
  </si>
  <si>
    <t>globo-series neutral glycolipids</t>
  </si>
  <si>
    <t>Monoblastic leukemia cells contained increased proportions of Gb3, Gb4, Gb5, and GA1.</t>
  </si>
  <si>
    <t>Gb3</t>
  </si>
  <si>
    <t>Gb4</t>
  </si>
  <si>
    <t>Gb5</t>
  </si>
  <si>
    <t>GA1</t>
  </si>
  <si>
    <t>Monocytic and myelomonocytic leukemia cells contained increased proportions of Glc-cer and Lac-cer.</t>
  </si>
  <si>
    <t>Glc-cer</t>
  </si>
  <si>
    <t>Lac-cer</t>
  </si>
  <si>
    <t>Especially, Glc-cer accounted for approximately 60% of the total neutral glycolipids in monocytic leukemia cells.</t>
  </si>
  <si>
    <t>Gb3 was the major neutral glycolipid in reticulum cell neoplasm type A, and it accounted for approximately 75% of the neutral glycolipids.</t>
  </si>
  <si>
    <t>type A</t>
  </si>
  <si>
    <t>GA1 was the major neutral glycolipid in myeloblastic and granulocytic leukemia cells as well as T-cell leukemias.</t>
  </si>
  <si>
    <t>Especially, granulocytic leukemia cells contained predominantly GA1, and it accounted for approximately 80% of the total neutral glycolipids.</t>
  </si>
  <si>
    <t>The pattern of gangliosides in myelogenous leukemias was more complex when compared with that of the neutral glycolipids; murine myelogenous leukemias contained at least 13 gangliosides, including such major gangliosides as GM1, GM1b containing N-acetyl neuraminic acid and N-glycolyl neuraminic acid, and Ga1NAc-GM1b.</t>
  </si>
  <si>
    <t>GM1</t>
  </si>
  <si>
    <t>GSD000091</t>
  </si>
  <si>
    <t>GM1b</t>
  </si>
  <si>
    <t>GSD000044</t>
  </si>
  <si>
    <t>cisGM1</t>
  </si>
  <si>
    <t>N-acetyl neuraminic acid</t>
  </si>
  <si>
    <t>N-glycolyl neuraminic acid</t>
  </si>
  <si>
    <t>Ga1NAc-GM1b</t>
  </si>
  <si>
    <t>Alterations of glycolipid composition in murine myeloid leukemias may be associated with cellular differentiation and maturation, and therefore these characteristic glycolipid species may be regarded as markers for specific populations of leukemia cells.</t>
  </si>
  <si>
    <t>Northern hybridization analysis of VH gene expression in murine monoclonal antibodies directed to cancer-associated ganglioside antigens having various sialic acid linkages.</t>
  </si>
  <si>
    <t>ganglioside antigens</t>
  </si>
  <si>
    <t>sialic acid linkages</t>
  </si>
  <si>
    <t>The expression of the VH genes in 46 murine hybridoma cells that secrete mAb directed to the cancer-associated carbohydrate Ag, especially acidic glycolipids such as gangliosides and sulfated glycoplipids, was analyzed by Northern hybridization of poly(A)+ RNA of hybridoma with cDNA probes for nine VH gene families.</t>
  </si>
  <si>
    <t>carbohydrate Ag</t>
  </si>
  <si>
    <t>sulfated glycoplipids</t>
  </si>
  <si>
    <t>GSD000162</t>
  </si>
  <si>
    <t>Different hybridomas tended to express VH genes of the same family when the cognate Ag had the same or similar carbohydrate structures; i.e., the VH genes of the J558 family (group 1) were preferentially expressed in the mAb directed to various gangliosides that have NeuAc alpha (or NeuGc alpha) 2-3 and/or 2-8 linkage (71%), the most common linkage of sialic acid residues in the gangliosides of higher animals, and the hybridomas directed to sulfated glycolipids also expressed mainly the VH genes of the J558 family (80%).</t>
  </si>
  <si>
    <t>carbohydrate structures</t>
  </si>
  <si>
    <t>NeuAc alpha</t>
  </si>
  <si>
    <t>In contrast, the five mAb directed to various gangliosides with NeuAc alpha 2-6 linkage were exclusively encoded by the VH genes of Q52 family (group 2, 100%), and three antibodies directed to gangliosides with a NeuAc alpha 2-9 linkage all expressed genes of J606 family (group 6, 100%).</t>
  </si>
  <si>
    <t>NeuAc alpha 2-6 linkage</t>
  </si>
  <si>
    <t>gangliosides with a NeuAc alpha 2-9 linkage</t>
  </si>
  <si>
    <t>NeuAc alpha 2-9 linkage</t>
  </si>
  <si>
    <t>The VH family usage was largely correlated with the linkage of sialic acid residues in the cognate carbohydrate Ag, but was not correlated at all with the difference in the fine specificities toward the core neutral carbohydrate chain, to which the sialic acid residues were attached.</t>
  </si>
  <si>
    <t>core neutral carbohydrate chain</t>
  </si>
  <si>
    <t>These findings suggest that the VH gene family in these anticarbohydrate antibodies is selected, depending primarily on the linkage of the sialic acid residues in carbohydrate Ag; these residues form the immunodominant sugar residue in the respective antigenic determinant.</t>
  </si>
  <si>
    <t>anticarbohydrate</t>
  </si>
  <si>
    <t>Distribution of type 1 and 2 blood group chains in normal and pathological odontogenic epithelium defined by monoclonal antibodies specific for Lea and H type 2.</t>
  </si>
  <si>
    <t>type 1</t>
  </si>
  <si>
    <t>Lea</t>
  </si>
  <si>
    <t>GSD000038; GSD000119</t>
  </si>
  <si>
    <t>Blood group H (Type 2) - Lewis y; Lewis a</t>
  </si>
  <si>
    <t>H type 2</t>
  </si>
  <si>
    <t>This study describes the distribution of type 1 and type 2 blood group carbohydrate chains in human normal and pathological odontogenic epithelia and in epithelia of human oral mucosa.</t>
  </si>
  <si>
    <t>type 2 blood group carbohydrate chains</t>
  </si>
  <si>
    <t>type 1 blood group carbohydrate chains</t>
  </si>
  <si>
    <t>Odontogenic epithelium was examined from 12 fetal tooth germs, 25 ameloblastomas, 13 odontogenic keratocysts, 13 follicular cysts and 13 radicular cysts.</t>
  </si>
  <si>
    <t>Oral mucosal epithelia was studied from 12 fetuses and 10 adults.</t>
  </si>
  <si>
    <t>Cell surface carbohydrates were detected using antibodies with reactivity for the blood group antigens A, B, type 1 chain Lea and type 2 chain H by an immunofluorescence technique.</t>
  </si>
  <si>
    <t>carbohydrates</t>
  </si>
  <si>
    <t>type 1 chain Lea</t>
  </si>
  <si>
    <t>type 2 chain H</t>
  </si>
  <si>
    <t>The expression of Lea and H type 2 chain in fetal palatal epithelium and only H type 2 chain in adult palatal epithelium suggests that a change in synthesis of blood group chains occurs during development.</t>
  </si>
  <si>
    <t>H type 2 chain</t>
  </si>
  <si>
    <t>blood group chains</t>
  </si>
  <si>
    <t>Type 2 blood group chains (antigen H) were found in fetal tooth germs, type 1 (Lea) in ameloblastomas and both type 1 and type 2 in odontogenic cysts.</t>
  </si>
  <si>
    <t>Type 2 blood group chains</t>
  </si>
  <si>
    <t>type 2</t>
  </si>
  <si>
    <t>These results indicate that a modulation in synthesis of blood group carbohydrates has occurred in ameloblastomas and odontogenic cysts as compared with the cells from which the lesions presumably are developed.</t>
  </si>
  <si>
    <t>blood group carbohydrates</t>
  </si>
  <si>
    <t>It is suggested that ameloblastomas may be distinguished from odontogenic cysts by the inability of ameloblastomas to synthesize type 2 blood group chains and antigens A and B.</t>
  </si>
  <si>
    <t>type 2 blood group chains</t>
  </si>
  <si>
    <t>Novel fucolipids of human adenocarcinoma: monoclonal antibody specific for trifucosyl Ley (III3FucV3FucVI2FucnLc6) and a possible three-dimensional epitope structure.</t>
  </si>
  <si>
    <t>trifucosyl Ley</t>
  </si>
  <si>
    <t>GSD000174</t>
  </si>
  <si>
    <t>Trifucosyl lewis y</t>
  </si>
  <si>
    <t>epitope structure</t>
  </si>
  <si>
    <t>Immunization of mice with Ley-active trifucosylnonaosylceramide (III3FucV3FucVI2FucnLc6) isolated from human colonic adenocarcinoma (Nudelman, E., Levery, S.</t>
  </si>
  <si>
    <t>B., Kaizu, T., and Hakomori, S. (1986) J.</t>
  </si>
  <si>
    <t>Biol.</t>
  </si>
  <si>
    <t>Chem. 261, 11247-11253) followed by selection of hybridoma by positive reaction with this antigen and negative reaction with two other Ley antigens (III3FucIV2FucnLc4 and V3FucVI2FucnLc6) resulted in successful isolation of the hybridoma producing IgM antibody, termed KH1, specific to Ley-active trifucosylnonaosylceramide, which does not cross-react with Ley-active hexaosyl- or octaosylceramides (III3FucIV2FucnLc4 and V3FucVI2FucnLc6) without internal fucosyl substitution.</t>
  </si>
  <si>
    <t>Ley antigens</t>
  </si>
  <si>
    <t>GSD000038; GSD000122</t>
  </si>
  <si>
    <t>Blood group H (Type 2) - Lewis y; Lewis y</t>
  </si>
  <si>
    <t>The three-dimensional structure of the trifucosylnonaosylceramide was simulated based on previously published glycosidic torsion angles for fucosyl type 2 chain (Lex and Ley) and for GlcNAc beta 1----3Gal beta as predicted by hard sphere exo-anomeric calculations (Thogersen, H., Lemieux, R.</t>
  </si>
  <si>
    <t>trifucosylnonaosylceramide</t>
  </si>
  <si>
    <t>fucosyl type 2 chain</t>
  </si>
  <si>
    <t>Lex</t>
  </si>
  <si>
    <t>GSD000058; GSD000121</t>
  </si>
  <si>
    <t>Dimeric Lewis x; Lewis x</t>
  </si>
  <si>
    <t>Ley</t>
  </si>
  <si>
    <t>GlcNAc beta 1</t>
  </si>
  <si>
    <t>U., Bock, K., and Meyer, B. (1982) Can.</t>
  </si>
  <si>
    <t>Chem. 60, 44-57).</t>
  </si>
  <si>
    <t>The picture thus constructed showed a broad nonpolar area consisting of the hydrophobic surface of the pyranosyl ring and acetamido group of N-acetylglucosamine and three CH3 groups of L-fucose; this hydrophobic area is adjacent to a hydrophilic area.</t>
  </si>
  <si>
    <t>N-acetylglucosamine</t>
  </si>
  <si>
    <t>L-fucose</t>
  </si>
  <si>
    <t>In analogy to the detailed structure of Leb or Ley involved in their interactions with antibodies and lectins (Spohr, U., Hindsgaul, O., and Lemieux, R.</t>
  </si>
  <si>
    <t>Leb</t>
  </si>
  <si>
    <t>GSD000038; GSD000120; GSD000190</t>
  </si>
  <si>
    <t>Blood group H (Type 2) - Lewis y; Lewis b; Blood group A (Type 1) - Lewis b</t>
  </si>
  <si>
    <t>U. (1985) Can.</t>
  </si>
  <si>
    <t>Chem. 63, 2644-2652), such a wide hydrophobic area adjacent to a hydrophilic region could be recognized by the antibody KH1, as shown in the model illustrated in the text.</t>
  </si>
  <si>
    <t>Since the axis of ceramide, which is inserted in the lipid bilayer, is perpendicular to the plane of type 2 chain, the epitope recognized by the antibody KH1 is located at the external nonpolar surface of the carbohydrate chain that is overlaid on the lipid bilayer.</t>
  </si>
  <si>
    <t>type 2 chain</t>
  </si>
  <si>
    <t>carbohydrate chain</t>
  </si>
  <si>
    <t>Monoclonal antibodies to glycolipids of the isoglobo-series detect tumor-associated antigens in rats.</t>
  </si>
  <si>
    <t>Monoclonal antibodies (MAbs) directed to 2 neutral glycolipids, isoglobotetraosylceramide and a 6-sugar isogloboneolactoseries hybrid glycolipid, previously shown to be enriched in rat colorectal tumor tissue, were produced by immunization with purified glycolipids.</t>
  </si>
  <si>
    <t>isoglobotetraosylceramide</t>
  </si>
  <si>
    <t>GSD000113</t>
  </si>
  <si>
    <t>Isoglobotetraosylceramide</t>
  </si>
  <si>
    <t>6-sugar isogloboneolactoseries hybrid glycolipid</t>
  </si>
  <si>
    <t>Four MAbs were selected which demonstrate 3 different specificity patterns when tested for binding to purified and crude preparations of neutral glycolipids, cultured tumor cells and fibroblasts and frozen tissue sections.</t>
  </si>
  <si>
    <t>MAbs 14.2 and 14.10, but not 14.3, stained most epithelial colorectal carcinomas, rat testis and a subpopulation of cells in the rat gastric mucosa.</t>
  </si>
  <si>
    <t>However, all 3 MAbs showed strong staining and binding to sections and cultured clones of the cytokeratin-negative tumor of colorectal origin, which was originally used for preparation of the glycolipid immunogens.</t>
  </si>
  <si>
    <t>The observed difference between MAbs 14.2/10 and MAb 14.3 could not be explained by differences in binding to the 2 original glycolipids used for screening.</t>
  </si>
  <si>
    <t>However, MAbs 14.2/10 were demonstrated to bind to high-molecular-weight glycoprotein(s) (HMW-gp's) previously shown to carry determinants for syngeneic antibodies and extracted from epithelial colorectal tumor tissue after extensive lipid extraction.</t>
  </si>
  <si>
    <t>This suggests that a protein-bound carbohydrate determinant, with similarities to the oligosaccharide part of the isoglobo-series glycolipids, is responsible for this cross-reactivity.</t>
  </si>
  <si>
    <t>carbohydrate determinant</t>
  </si>
  <si>
    <t>The staining of rat testis could be explained by the strong expression in this tissue of glycolipids with 8-10 sugar residues bound by the 14.2/10 but not 14.3 MAbs.</t>
  </si>
  <si>
    <t>The cell-surface expression of the 6-sugar hybrid glycolipid was demonstrated by complement-dependent cytotoxicity and immunofluorescent staining of viable cells.</t>
  </si>
  <si>
    <t>6-sugar hybrid glycolipid</t>
  </si>
  <si>
    <t>Synthesis of small proteoglycans substituted with keratan sulfate by rabbit articular chondrocytes. 35S-Labeled proteoglycans produced by chondrocytes from immature and mature rabbits were fractionated on associative CsCl gradients.</t>
  </si>
  <si>
    <t>keratan sulfate</t>
  </si>
  <si>
    <t>GSD000114</t>
  </si>
  <si>
    <t>Keratan sulfate</t>
  </si>
  <si>
    <t>In all cultures, greater than 85% of the incorporated radioactivity was present in the A1 fraction (rho 1.60) as chondroitin sulfate/keratin sulfate-substituted aggregating proteoglycan monomer; the remainder was present in small proteoglycans in the A2, A3, and A4 fractions of low buoyant densities (rho 1.53, 1.45, 1.37, respectively).</t>
  </si>
  <si>
    <t>chondroitin sulfate</t>
  </si>
  <si>
    <t>GSD000043; GSD000054</t>
  </si>
  <si>
    <t>Chondroitin sulfate; Dermatan sulfate</t>
  </si>
  <si>
    <t>Detailed glycosaminoglycan analysis of the A2, A3, and A4 fractions showed dermatan sulfate-rich species were present throughout.</t>
  </si>
  <si>
    <t>GSD000054</t>
  </si>
  <si>
    <t>Dermatan sulfate</t>
  </si>
  <si>
    <t>However, in both immature and mature cultures, 30-45% of the glycosaminoglycans in the A3/A4 combined fractions were present as keratan sulfate, as shown by insensitivity to digestion with chondroitinase ABC, specific digestion with endo-beta-galactosidase, and reactivity with antibody 5D4.</t>
  </si>
  <si>
    <t>Immature and mature chondrocytes synthesized very similar amounts of the low buoyant density keratan sulfate proteoglycan on a per cell basis.</t>
  </si>
  <si>
    <t>keratan sulfate proteoglycan</t>
  </si>
  <si>
    <t>Moreover, 51 and 37% of the total keratan sulfate produced by immature and mature chondrocytes, respectively, were present in the low buoyant density proteoglycan.</t>
  </si>
  <si>
    <t>Pulse-chase experiments indicated that the low buoyant density keratan sulfate was not derived from the large aggregating proteoglycan by proteolysis in the extracellular space.</t>
  </si>
  <si>
    <t>The small keratan sulfate proteoglycans appear to be present as a species distinct from the small dermatan sulfate proteoglycans in these cultures in that they can be separated on Q-Sepharose chromatography and sodium dodecyl sulfate-polyacrylamide gel electrophoresis.</t>
  </si>
  <si>
    <t>keratan sulfate proteoglycans</t>
  </si>
  <si>
    <t>dermatan sulfate proteoglycans</t>
  </si>
  <si>
    <t>sulfate-polyacrylamide</t>
  </si>
  <si>
    <t>The apparent size (40-60 kDa), composition, and heterogeneity of the keratan sulfate proteoglycans suggest that they may be related to the small keratan sulfate proteoglycans of cornea.</t>
  </si>
  <si>
    <t>Glycosphingolipids in Bomirski transplantable melanomas in hamsters.</t>
  </si>
  <si>
    <t>Glycosphingolipids</t>
  </si>
  <si>
    <t>The glycosphingolipid compositions of Bomirski melanomas at different stages of differentiation, including Ab amelanotic melanoma (fast growing), Ma melanotic melanoma (slow growing), and MI hypomelanotic melanoma (slow growing), were studied.</t>
  </si>
  <si>
    <t>The total concentration of lipid-bound sialic acid in Ab amelanotic melanoma was found to be much lower than those in Ma and MI melanomas (0.8 micrograms versus 1.4 micrograms and 1.4 micrograms/mg of dry tissue, respectively).</t>
  </si>
  <si>
    <t>The ganglioside patterns in melanoma tissues were composed mainly of three components, which were confirmed as NeuAc alpha 2-3Gal beta 1-4Glc beta 1-1'Cer (GM3), acetyl1-9-O-NeuAc alpha 2-8NeuAc alpha 2-3Gal beta 1-4Glc beta 1-1'Cer (9-O-acetyl-GD3), and NeuAc alpha 2-8NeuAc alpha 2-3Gal beta 1-4Glc beta 1-1'Cer(GD3) by structural analysis and monoclonal antibody detections.</t>
  </si>
  <si>
    <t>NeuAc alpha 2-3Gal beta 1-4Glc beta 1-1'Cer</t>
  </si>
  <si>
    <t>acetyl1-9-O-NeuAc alpha 2-8NeuAc alpha 2-3Gal beta 1-4Glc beta 1-1'Cer</t>
  </si>
  <si>
    <t>NeuAc alpha 2-8NeuAc alpha 2-3Gal beta 1-4Glc beta 1-1</t>
  </si>
  <si>
    <t>9-O-acetyl-GD3</t>
  </si>
  <si>
    <t>GSD000012</t>
  </si>
  <si>
    <t>9-O-Acetyl GD3</t>
  </si>
  <si>
    <t>However, the relative ratios of these gangliosides expressed in the different types of melanomas were completely different.</t>
  </si>
  <si>
    <t>The MI melanoma tissues contained GM3 as the predominant species (greater than 90% of the total gangliosides) with very little of GD3 and 9-O-acetyl-GD3 gangliosides (less than 2% of the total gangliosides).</t>
  </si>
  <si>
    <t>9-O-acetyl-GD3 gangliosides</t>
  </si>
  <si>
    <t>In contrast, Ab amelanotic melanomas contained mainly 9-O-acetyl-GD3 (greater than 27%) and GD3 (greater than 51%) with lesser amounts of GM3.</t>
  </si>
  <si>
    <t>However, Ma melanoma had intermediate levels of GM3, GD3, and 9-O-acetyl GD3.</t>
  </si>
  <si>
    <t>9-O-acetyl GD3</t>
  </si>
  <si>
    <t>The MI and Ma melanomas also contained monohexosylceramide (GL1) (about 60% as Gal beta 1-1'Cer and 40% as Glc beta 1-1'Cer in Ma and 30% as Gal beta 1-1'Cer and 70% as Glc beta 1-1'Cer in MI) and Gal beta 1-4Glc beta 1-1'Cer as the predominant neutral glycosphingolipid species.</t>
  </si>
  <si>
    <t>monohexosylceramide</t>
  </si>
  <si>
    <t>Gal beta 1-1'Cer</t>
  </si>
  <si>
    <t>Glc beta 1-1'Cer</t>
  </si>
  <si>
    <t>Gal beta 1-4Glc beta 1-1'Cer</t>
  </si>
  <si>
    <t>In contrast, Ab melanoma tissues contained more GalNAc beta 1-3GalNAc beta 1-3Gal alpha 1-4Gal beta 1-4Glc beta 1-1'Cer (Gb5), Gal alpha 1-4Gal beta 1-4Glc beta 1-1'Cer (Gb3), and GalNAc beta 1-3Gal alpha 1-4Gal beta 1-4Glc beta 1-1'Cer (Gb4) than MI and Ma melanomas.</t>
  </si>
  <si>
    <t>GalNAc beta 1-3GalNAc beta 1-3Gal alpha 1-4Gal beta 1-4Glc beta 1-1'Cer</t>
  </si>
  <si>
    <t>GalNAc beta 1-3Gal alpha 1-4Gal beta 1-4Glc beta 1-1'Cer</t>
  </si>
  <si>
    <t>Gal alpha 1-4Gal beta 1-4Glc beta 1-1'Cer</t>
  </si>
  <si>
    <t>Our data suggest that the expression of glycosphingolipids in hamster melanoma cells may be closely related to cell growth and the degree of differentiation, with slow growing, highly differentiated cells expressing GM3 and GL1, and fast growing, undifferentiating cells having a preponderance of GD3, 9-O-acetyl-GD3, Gb5, Gb3, and Gb4.</t>
  </si>
  <si>
    <t>GL1</t>
  </si>
  <si>
    <t>Expression of Forssman glycolipid and blood group-related antigens A, Le(x), and Le(y) in human gastric cancer and in fetal tissues.</t>
  </si>
  <si>
    <t>Le(x)</t>
  </si>
  <si>
    <t>Le(y)</t>
  </si>
  <si>
    <t>The expression of Forssman glycolipid antigen in human gastric cancers was investigated by thin-layer chromatogram immunostaining of glycolipid fractions.</t>
  </si>
  <si>
    <t>Forssman glycolipid antigen</t>
  </si>
  <si>
    <t>Incompatible blood group A antigen, Le(x) and Le(y) antigen were also studied in comparison with Forssman antigen.</t>
  </si>
  <si>
    <t>blood group A antigen</t>
  </si>
  <si>
    <t>Forssman antigen</t>
  </si>
  <si>
    <t>GSD000068; GSD000069</t>
  </si>
  <si>
    <t>Forssman antigen; Forssman glycolipid</t>
  </si>
  <si>
    <t>Forssman glycolipid as the pentaglycosylceramide was demonstrated in nine out of 12 gastric cancers, and in three out of 10 adjacent uninvolved tissues.</t>
  </si>
  <si>
    <t>pentaglycosylceramide</t>
  </si>
  <si>
    <t>In most cases the content of Forssman glycolipid was increased in the cancers compared with that in the uninvolved counterparts.</t>
  </si>
  <si>
    <t>Forssman pentaglycosylceramide was also detected in some normal gastric mucosae (two out of four), and in a fetal gastrointestinal tract tissue.</t>
  </si>
  <si>
    <t>Forssman pentaglycosylceramide</t>
  </si>
  <si>
    <t>In immunohistochemical examination of gastric cancer tissues, sialidase treatment revealed a positive staining with anti-Forssman antibody.</t>
  </si>
  <si>
    <t>Some cancer tissues from patients with blood group O were found to contain blood group A-active glycolipids, which could be distinguished from Forssman glycolipid by thin-layer chromatogram immunostaining.</t>
  </si>
  <si>
    <t>blood group O</t>
  </si>
  <si>
    <t>The incidence of incompatible A-active glycolipids was two out of 10 cancers from patients with blood group O or B.</t>
  </si>
  <si>
    <t>Le(x)- and Le(y)-active glycolipids were detected in most of the preparations and were not accumulated consistently in the cancers.</t>
  </si>
  <si>
    <t>Generation of two murine monoclonal antibodies that can discriminate N-glycolyl and N-acetyl neuraminic acid residues of GM2 gangliosides.</t>
  </si>
  <si>
    <t>N-acetyl neuraminic acid residues</t>
  </si>
  <si>
    <t>GM2 gangliosides</t>
  </si>
  <si>
    <t>GSD000092</t>
  </si>
  <si>
    <t>GM2</t>
  </si>
  <si>
    <t>N-glycolyl neuraminic acid residues</t>
  </si>
  <si>
    <t>Since the preliminary analyses of the glycolipids of small cell carcinomas of the lung showed an increase of GM2 ganglioside, we generated new murine monoclonal antibodies directed to GM2 to identify the molecular species of the glycolipid.</t>
  </si>
  <si>
    <t>GM2 ganglioside</t>
  </si>
  <si>
    <t>The monoclonal antibodies MK2-34 and MK1-16 (both IgM), which specifically detect N-glycolyl GM2 and N-acetyl GM2, respectively, were generated by immunizing mice with liposomes containing monophosphoryl lipid A, trehalose dimycolate, and the antigenic ganglioside.</t>
  </si>
  <si>
    <t>N-glycolyl GM2</t>
  </si>
  <si>
    <t>GSD000130</t>
  </si>
  <si>
    <t>N-Glycolyl-GM2</t>
  </si>
  <si>
    <t>N-acetyl GM2</t>
  </si>
  <si>
    <t>dimycolate</t>
  </si>
  <si>
    <t>Among the glycolipid preparations extracted from the cancer tissues of 39 patients with lung cancer, a significant amount of N-acetyl GM2 was detected with MK1-16 antibody in 70% of the squamous cell carcinoma cases, 50% of the lung adenocarcinoma cases, 33% of the large cell carcinoma cases, and 100% of the cases of small cell carcinoma of the lung.</t>
  </si>
  <si>
    <t>On the other hand, N-glycolyl GM2 which was defined by the monoclonal MK2-34 was not found in any of the glycolipid fractions prepared from the lung cancer tissues examined in this study.</t>
  </si>
  <si>
    <t>Immunohistochemical studies of the lung cancer tissues with the MK1-16 antibody showed that the N-acetyl GM2 was present not only in small cell carcinoma tissues as one of the antigens related to tumors of neuroectodermal origin, but also in the squamous cell carcinoma and adenocarcinoma of the lung with a comparable frequency.</t>
  </si>
  <si>
    <t>The appearance of the N-acetyl GM2 antigen correlated well with the degree of differentiation of the cancer cells in patients with squamous cell carcinoma and adenocarcinoma of the lung.</t>
  </si>
  <si>
    <t>N-acetyl GM2 antigen</t>
  </si>
  <si>
    <t>Biosynthesis of the major brain gangliosides GD1a and GT1b.</t>
  </si>
  <si>
    <t>gangliosides GD1a</t>
  </si>
  <si>
    <t>Gangliosides-sialylated glycosphingolipids-are the major glycoconjugates of nerve cells.</t>
  </si>
  <si>
    <t>The same four structures-GM1, GD1a, GD1b and GT1b-comprise the great majority of gangliosides in mammalian brains.</t>
  </si>
  <si>
    <t>They share a common tetrasaccharide core (Galbeta1-3GalNAcbeta1-4Galbeta1-4Glcbeta1-1'Cer) with one or two sialic acids on the internal galactose and zero (GM1 and GD1b) or one (GD1a and GT1b) alpha2-3-linked sialic acid on the terminal galactose.</t>
  </si>
  <si>
    <t>tetrasaccharide core</t>
  </si>
  <si>
    <t>sialic acids</t>
  </si>
  <si>
    <t>internal galactose</t>
  </si>
  <si>
    <t>(GD1a and GT1b) alpha2-3-linked sialic acid</t>
  </si>
  <si>
    <t>terminal galactose</t>
  </si>
  <si>
    <t>Whereas the genes responsible for the sialylation of the internal galactose are known, those responsible for terminal sialylation have not been established in vivo.</t>
  </si>
  <si>
    <t>We report that St3gal2 and St3gal3 are responsible for nearly all the terminal sialylation of brain gangliosides in the mouse.</t>
  </si>
  <si>
    <t>When brain ganglioside expression was analyzed in adult St3gal1-, St3gal2-, St3gal3- and St3gal4-null mice, only St3gal2-null mice differed significantly from wild type, expressing half the normal amount of GD1a and GT1b.</t>
  </si>
  <si>
    <t>St3gal1/2-double-null mice were no different than St3gal2-single-null mice; however, St3gal2/3-double-null mice were &gt;95% depleted in gangliosides GD1a and GT1b.</t>
  </si>
  <si>
    <t>Total ganglioside expression (lipid-bound sialic acid) in the brains of St3gal2/3-double-null mice was equivalent to that in wild-type mice, whereas total protein sialylation was reduced by half.</t>
  </si>
  <si>
    <t>St3gal2/3-double-null mice were small, weak and short lived.</t>
  </si>
  <si>
    <t>They were half the weight of wild-type mice at weaning and displayed early hindlimb dysreflexia.</t>
  </si>
  <si>
    <t>We conclude that the St3gal2 and St3gal3 gene products (ST3Gal-II and ST3Gal-III sialyltransferases) are largely responsible for ganglioside terminal alpha2-3 sialylation in the brain, synthesizing the major brain gangliosides GD1a and GT1b.</t>
  </si>
  <si>
    <t>ganglioside terminal alpha2-3 sialylation</t>
  </si>
  <si>
    <t>sialosyl lactosaminyl paragloboside</t>
  </si>
  <si>
    <t>IgM M protein with anti-Pr2 cold agglutinin activity may play a pathogenetic role in peripheral nerve demyelination, because the target antigens of the M protein are present in myelin and possibly in endothelial cells of the peripheral nervous system.</t>
  </si>
  <si>
    <t>Gangliosides</t>
  </si>
  <si>
    <t>Generic?</t>
  </si>
  <si>
    <t>Lewis-b</t>
  </si>
  <si>
    <t>III4V4VI2Fuc3Lc6</t>
  </si>
  <si>
    <t>tetrasaccharide</t>
  </si>
  <si>
    <t>beta-GalNAc-(1----4)-[alpha-Neu5Ac-(2 ----8)-alpha-Neu5Ac-(2----3)]-beta-Gal</t>
  </si>
  <si>
    <t>GalNAc</t>
  </si>
  <si>
    <t>internal Neu5Ac</t>
  </si>
  <si>
    <t>Neu5Ac</t>
  </si>
  <si>
    <t>trisaccharide</t>
  </si>
  <si>
    <t>beta-GalNAc-(1----4)-[alpha-Neu5Ac-(2----3)]-beta-Gal</t>
  </si>
  <si>
    <t>lactoseries type 2 chain</t>
  </si>
  <si>
    <t>lactoseries type 1 chain</t>
  </si>
  <si>
    <t>Gal beta 1</t>
  </si>
  <si>
    <t>GalNAc alpha 1</t>
  </si>
  <si>
    <t>Not Count</t>
  </si>
  <si>
    <t>type 1 blood group chains</t>
  </si>
  <si>
    <t>antigen H</t>
  </si>
  <si>
    <t>blood group antigens A, B</t>
  </si>
  <si>
    <t>III3FucIV2FucnLc4</t>
  </si>
  <si>
    <t>V3FucVI2FucnLc6</t>
  </si>
  <si>
    <t>hexaosylosylceramides</t>
  </si>
  <si>
    <t>octaosylceramides</t>
  </si>
  <si>
    <t>GlcNAc beta 1----3Gal beta</t>
  </si>
  <si>
    <t>III3FucV3FucVI2FucnLc6</t>
  </si>
  <si>
    <t>keratin sulfate</t>
  </si>
  <si>
    <t>dermatan sulfate</t>
  </si>
  <si>
    <t>blood group A</t>
  </si>
  <si>
    <t>A</t>
  </si>
  <si>
    <t>blood group</t>
  </si>
  <si>
    <t>antigens A</t>
  </si>
  <si>
    <t>sialylated glycosphingolipids</t>
  </si>
  <si>
    <t>Mannose processing is an important determinant in the assembly of phosphorylated high mannose-type oligosaccharides.</t>
  </si>
  <si>
    <t>Mannose</t>
  </si>
  <si>
    <t>phosphorylated high mannose-type oligosaccharides</t>
  </si>
  <si>
    <t>Phosphorylation of the high mannose-type oligosaccharides attached to newly synthesized acid hydrolases occurs in two sequential steps within the endoplasmic reticulum and the Golgi apparatus, and the products generated at the two sites differ with respect to the location of the phosphorylated mannose residue.</t>
  </si>
  <si>
    <t>high mannose-type oligosaccharides</t>
  </si>
  <si>
    <t>phosphorylated mannose</t>
  </si>
  <si>
    <t>To investigate the mechanism of this two-step phosphorylation, biosynthesis of the Man-6-P recognition marker was studied in class E Thy-1- and J774 cells metabolically labeled with [2-3H]mannose.</t>
  </si>
  <si>
    <t>Man-6-P</t>
  </si>
  <si>
    <t>Class E Thy-1- cells produce truncated high mannose oligosaccharides that lack 4 mannose residues from the alpha 1,6-branch of the core beta-linked mannose residue; three of the missing residues are potential phosphorylation sites.</t>
  </si>
  <si>
    <t>high mannose oligosaccharides</t>
  </si>
  <si>
    <t>mannose</t>
  </si>
  <si>
    <t>core beta-linked mannose</t>
  </si>
  <si>
    <t>Acid hydrolases produced by these mutant cells were phosphorylated on the alpha 1,3-branch of the truncated oligosaccharide even when transport to the Golgi apparatus was inhibited.</t>
  </si>
  <si>
    <t>J774 cells produce normal high mannose oligosaccharides, but they secrete a large percentage of their newly synthesized acid hydrolases.</t>
  </si>
  <si>
    <t>The secreted enzymes contained primarily diphosphorylated units in which a phosphate was positioned to both the alpha 1,3- and alpha 1,6-branches of the core beta-linked mannose.</t>
  </si>
  <si>
    <t>J774 cells treated with deoxymannojirimycin continued to phosphorylate and to secrete acid hydrolases.</t>
  </si>
  <si>
    <t>The secreted hydrolases, however, contained only monophosphorylated oligosaccharides in which the phosphate was restricted to the alpha 1,6-branch.</t>
  </si>
  <si>
    <t>monophosphorylated oligosaccharides</t>
  </si>
  <si>
    <t>These results indicate that mannose residues within high mannose oligosaccharides impose constraints on the phosphorylation of their composite structures.</t>
  </si>
  <si>
    <t>We conclude that the two-step phosphorylation occurs as a result of a common phosphotransferase at both the pre-Golgi and Golgi locations and a change in the conformation of the oligosaccharides attached to the acid hydrolases through the action of Golgi-associated alpha-mannosidase I.</t>
  </si>
  <si>
    <t>oligosaccharides</t>
  </si>
  <si>
    <t>Galbeta1-3GalNAcbeta1-4Galbeta1-4Glcbeta1-1'Cer</t>
  </si>
  <si>
    <t>5_abs</t>
  </si>
  <si>
    <t>16_abs</t>
  </si>
  <si>
    <t>FN</t>
  </si>
  <si>
    <t>P</t>
  </si>
  <si>
    <t>R</t>
  </si>
  <si>
    <t>F1</t>
  </si>
  <si>
    <t>Set_1</t>
  </si>
  <si>
    <t>Decision</t>
  </si>
  <si>
    <t>Clinical evaluation of circulating serum sialyl Tn antigen levels in patients with epithelial ovarian cancer.</t>
  </si>
  <si>
    <t>sialyl Tn antigen</t>
  </si>
  <si>
    <t>Sialyl Tn antigen (NeuAc alpha 2----6GalNac alpha 1----0-Ser/Thr [STN]) with antigenic specificity in the core structure of mucin-type carbohydrate chains has been determined.</t>
  </si>
  <si>
    <t>Sialyl Tn antigen</t>
  </si>
  <si>
    <t>core structure</t>
  </si>
  <si>
    <t>In the present study, we evaluated the clinical significance of this new carbohydrate antigen, STN, in patients with epithelial ovarian cancer.</t>
  </si>
  <si>
    <t>carbohydrate antigen</t>
  </si>
  <si>
    <t>With the use of a radioimmunoassay developed to detect STN antigen in serum, elevated (greater than or equal to 32.6 U/mL) antigen levels were observed in 50.0% of patients with ovarian cancer.</t>
  </si>
  <si>
    <t>In contrast, 3.8% of healthy individuals had STN antigen levels greater than or equal to 32.6 U/mL.</t>
  </si>
  <si>
    <t>In 9.6% of patients with benign gynecologic diseases and 0% of pregnant women, there were elevated levels of STN antigen.</t>
  </si>
  <si>
    <t>There was a significant difference (P less than .001) in STN antigen levels between patients with ovarian cancer and patients with benign gynecologic diseases, pregnant women, or the controls.</t>
  </si>
  <si>
    <t>The mean +/- SD for all evaluated samples of ovarian cancer was 109.2 +/- 146.8 U/mL.</t>
  </si>
  <si>
    <t>Both the mean values and the positive rate increased as the stage advanced.</t>
  </si>
  <si>
    <t>Classified according to the histologic type, the highest positive rate (61.0%) was observed in mucinous adenocarcinoma.</t>
  </si>
  <si>
    <t>The usefulness of STN antigen as a circulating tumor marker in ovarian cancer was estimated as follows: sensitivity 50.0%, specificity 93.5%, positive predictive value 72.2%, negative predictive value 84.7%, and diagnostic value 46.8%.</t>
  </si>
  <si>
    <t>STN antigen</t>
  </si>
  <si>
    <t>Serum STN antigen levels were elevated in 12 of 33 patients with ovarian cancer who had serum CA 125 antigen levels less than 35 U/mL.</t>
  </si>
  <si>
    <t>While CA 125 antigen levels were elevated in 74.6% and STN antigen levels were elevated in 50.0% of the same population, the use of both assays indicated the sensitivity of detection of 83.8% in the population studied.</t>
  </si>
  <si>
    <t>Structures of the asparagine-289-linked oligosaccharides assembled on recombinant human plasminogen expressed in a Mamestra brassicae cell line (IZD-MBO503).</t>
  </si>
  <si>
    <t>289-linked oligosaccharides</t>
  </si>
  <si>
    <t>In this report, we have fortified and extended a previous investigation [Davidson, D.</t>
  </si>
  <si>
    <t>J., Fraser, M.</t>
  </si>
  <si>
    <t>J., &amp; Castellino, F.</t>
  </si>
  <si>
    <t>J. (1990) Biochemistry 29, 5584-5590] in which we demonstrated for the first time that lepidopteran insect (Spodoptera frugiperda) cells (IPLB-SF-21AE) were capable of assembling N-linked complex oligosaccharide on a human protein (plasminogen), the cDNA of which had been inserted into these cells via recombinant DNA technology with a baculovirus vector.</t>
  </si>
  <si>
    <t>N-linked complex oligosaccharide</t>
  </si>
  <si>
    <t>In order to investigate whether a more general capability of lepidopteran insect cells to produce complex oligosaccharide existed, and to identify the chemical nature of the types of oligosaccharides that such insect cells were able to assemble, we have infected Mamestra brassicae (IZD-MBO503) cells for 48 h with a recombinant (r) baculovirus containing the [R561E]human plasminogen (HPg) cDNA and characterized the nature of the glycopeptidase F (GF) released N-linked oligosaccharides contained on Asn289 of the r-HPg expressed by these cells.</t>
  </si>
  <si>
    <t>complex oligosaccharide</t>
  </si>
  <si>
    <t>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t>
  </si>
  <si>
    <t>N-linked oligosaccharides</t>
  </si>
  <si>
    <t>complex type</t>
  </si>
  <si>
    <t>bisialo-biantennary</t>
  </si>
  <si>
    <t>asialo-biantennary</t>
  </si>
  <si>
    <t>fucosylated bisialo-biantennary</t>
  </si>
  <si>
    <t>complex-type carbohydrate</t>
  </si>
  <si>
    <t>fucosylated asialo-biantennary oligosaccharides</t>
  </si>
  <si>
    <t>The remainder of the oligosaccharides were of the high-mannose type, with (mannose)9(N-acetylglucosamine)2 (22%), (mannose)5(N-acetylglucosamine)2 (13%), and (mannose)3(N-acetylglucosamine)2 (2%) representing the major oligosaccharides observed.(ABSTRACT TRUNCATED AT 250 WORDS).</t>
  </si>
  <si>
    <t>(mannose)9(N-acetylglucosamine)2</t>
  </si>
  <si>
    <t>Composition</t>
  </si>
  <si>
    <t>(mannose)5(N-acetylglucosamine)2</t>
  </si>
  <si>
    <t>(mannose)3(N-acetylglucosamine)2</t>
  </si>
  <si>
    <t>Monoclonal antibody A2B5, which detects cell surface antigens, binds to ganglioside GT3 (II3 (NeuAc)3LacCer) and to its 9-O-acetylated derivative.</t>
  </si>
  <si>
    <t>ganglioside GT3</t>
  </si>
  <si>
    <t>9-O-acetylated derivative</t>
  </si>
  <si>
    <t>The monoclonal antibody A2B5 recognizes antigens at the surface of neuronal and glial cells but also at the surface of thymus epithelia and pancreatic islet cells.</t>
  </si>
  <si>
    <t>Although these antigens have been characterized as polysialogangliosides, A2B5 also reacts with other unidentified gangliosides.</t>
  </si>
  <si>
    <t>In order to characterize further the epitope of A2B5, two new ganglioside antigens isolated from chicken brain are identified in this study.</t>
  </si>
  <si>
    <t>epitope</t>
  </si>
  <si>
    <t>One is the ganglioside NeuAc alpha 2-8NeuAc alpha 2-8NeuAc alpha 2-3Gal beta 1-4Glc beta 1-1ceramide (GT3) and the other is a 9-O-acetylated derivative of GT3).</t>
  </si>
  <si>
    <t>This derivative was purified from 10-day embryonic chicken brain.</t>
  </si>
  <si>
    <t>Acetyl groups substituted on sialic acid were removed either by alkali treatment or by incubation with influenza virus C, which contains receptor-destroying enzyme (a neuraminidate 9-O-acetyl esterase).</t>
  </si>
  <si>
    <t>Acetyl</t>
  </si>
  <si>
    <t>The product of alkali treatment or viral action was detected by the antibody 18B8 which is specific for GT3.</t>
  </si>
  <si>
    <t>The deacetylated product still reacts with A2B5.</t>
  </si>
  <si>
    <t>These data and the results of mild oxidation of the antigen with sodium periodate suggest that the epitope recognized by antibody A2B5 contains the trisialyl structure found in GT3 but does not include the polyalcohol chain of the terminal sialic acid which can be oxidized by periodate or acetylated without modifying the affinity for the antibody.</t>
  </si>
  <si>
    <t>trisialyl structure</t>
  </si>
  <si>
    <t>polyalcohol chain</t>
  </si>
  <si>
    <t>terminal sialic acid</t>
  </si>
  <si>
    <t>The epitope recognized by A2B5 is different from the epitope recognized by the antibody 18B8 in that 18B8 requires the three sialic acids with an intact and unsubstituted polyalcohol chain.</t>
  </si>
  <si>
    <t>unsubstituted polyalcohol chain</t>
  </si>
  <si>
    <t>Antibody 18B8 does not bind to 9-O-acetylated GT3 or GT3 oxidized by sodium periodate.</t>
  </si>
  <si>
    <t>9-O-acetylated GT3</t>
  </si>
  <si>
    <t>Deletion of histo-blood group A and B antigens and expression of incompatible A antigen in ovarian cancer.</t>
  </si>
  <si>
    <t>histo-blood group A</t>
  </si>
  <si>
    <t>B antigens</t>
  </si>
  <si>
    <t>A antigen</t>
  </si>
  <si>
    <t>Expression of histo-blood group ABH antigens in 53 cases of ovarian cancer was examined by immunoperoxidase staining of Formalin-fixed as well as frozen histological sections with various monoclonal antibodies, including those defining type 1, 2, 3, and 4 chain A.</t>
  </si>
  <si>
    <t>histo-blood group ABH antigens</t>
  </si>
  <si>
    <t>type 1 chain A</t>
  </si>
  <si>
    <t>type 2 chain A</t>
  </si>
  <si>
    <t>type 3 chain A</t>
  </si>
  <si>
    <t>type 4 chain A</t>
  </si>
  <si>
    <t>Findings of major interest were (a) deletion of A and B determinants in tumors from histo-blood group A and B individuals, and a high incidence of H antigen deletion in tumors from group O individuals were observed and (b) strong expression of incompatible A antigen in two of 10 samples from group B patients and in two of nine samples from group O patients was demonstrated.</t>
  </si>
  <si>
    <t>H antigen</t>
  </si>
  <si>
    <t>A antigen expression was defined by monoclonal antibody AH21, which reacts with monofucosyl type 1 chain A (ALed), but not by other types of anti-A antibodies directed to difucosyl type 1 chain A (ALeb), mono- or difucosyl type 2 chain A, or type 3 or type 4 chain A.</t>
  </si>
  <si>
    <t>monofucosyl type 1 chain A</t>
  </si>
  <si>
    <t>ALed</t>
  </si>
  <si>
    <t>difucosyl type 1 chain A</t>
  </si>
  <si>
    <t>ALeb</t>
  </si>
  <si>
    <t>difucosyl type 2 chain A</t>
  </si>
  <si>
    <t>type 3</t>
  </si>
  <si>
    <t>The reactivity of monoclonal antibody AH21 was abolished by alpha-N-acetylgalactosaminidase from chicken liver.</t>
  </si>
  <si>
    <t>These findings clearly identified the specific expression of incompatible A antigen with the structure monofucosyl type 1 chain A (ALed) in tumors from histo-blood group B and O individuals.</t>
  </si>
  <si>
    <t>histo-blood group B</t>
  </si>
  <si>
    <t>histo-blood group O</t>
  </si>
  <si>
    <t>Synthesis of type 1 and 2 lacto series glycolipid antigens in human colonic adenocarcinoma and derived cell lines is due to activation of a normally unexpressed beta 1----3N-acetylglucosaminyltransferase.</t>
  </si>
  <si>
    <t>type 1 lacto series glycolipid antigens</t>
  </si>
  <si>
    <t>type 2 lacto series glycolipid antigens</t>
  </si>
  <si>
    <t>Human colonic adenocarcinoma tissue and derived cell lines have been characterized by an abundance of different type 1 and 2 lacto series glycolipid antigens which are either low or not found in normal colonic mucosa.</t>
  </si>
  <si>
    <t>The enzymatic basis for the expression of contrasting glycolipid compositions between adenocarcinomas and normal colonic mucosa, as well as between derived cell lines, has been studied.</t>
  </si>
  <si>
    <t>The following results were of particular interest. (i) Abundant activities of beta 1----4galactosyltransferase associated with synthesis of both lactosylceramide and lactoneotetraosylceramide, beta 1----3galactosyltransferase for synthesis of lactotetraosylceramide, and an alpha 1----3/4fucosyltransferase responsible for synthesis of Lex and Lea antigens were found in normal colonic mucosa or in a normal mucosal epithelial cell line HCMC, or in both.</t>
  </si>
  <si>
    <t>lactoneotetraosylceramide</t>
  </si>
  <si>
    <t>Lea antigens</t>
  </si>
  <si>
    <t>Variable levels of these activities were found in adenocarcinoma tissues and in various established adenocarcinoma cell lines.</t>
  </si>
  <si>
    <t>In striking contrast, significant activity of a beta 1----3N-acetylglucosaminyltransferase responsible for synthesis of lactotriaosylceramide (Lc3) was found in various cases of colonic adenocarcinoma and cell lines, but was undetectable in normal colonic epithelial cells. (ii) In situ transfer of galactose to Lc3 was performed on histologic sections by preincubation of the tissue with acceptor glycolipid followed by incubation with UDP-galactose.</t>
  </si>
  <si>
    <t>lactotriaosylceramide</t>
  </si>
  <si>
    <t>Lc3</t>
  </si>
  <si>
    <t>galactose</t>
  </si>
  <si>
    <t>The biosynthesized glycolipid was revealed by indirect immunofluorescence with the monoclonal antibody 1B2 which defines lactoneotetraosylceramide antigen.</t>
  </si>
  <si>
    <t>lactoneotetraosylceramide antigen</t>
  </si>
  <si>
    <t>In these studies, histologic sections prepared from frozen normal proximal colon tissue were shown to lack native type 2 chain structures.</t>
  </si>
  <si>
    <t>type 2 chain structures</t>
  </si>
  <si>
    <t>However, transfer of galactose from UDP-galactose could be demonstrated in the epithelial cells of normal proximal colon after incorporation of Lc3 into the membranes, indicating the ability of normal colonic epithelial cells to synthesize type 2 chain core structures if the precursor Lc3 is available.</t>
  </si>
  <si>
    <t>UDP-galactose</t>
  </si>
  <si>
    <t>type 2 chain core structures</t>
  </si>
  <si>
    <t>In contrast, adenocarcinoma tissues showed significant native immunofluorescence with the antibody.</t>
  </si>
  <si>
    <t>These data suggest that an accumulation of both type 1 and 2 chain lacto series glycolipids with alpha 1----3- or alpha 1----4fucosyl substitution in human adenocarcinoma is due to enhanced beta 1----3N-acetylglucosaminyltransferase rather than enhancement of other enzymes.</t>
  </si>
  <si>
    <t>type 1 chain lacto series glycolipids</t>
  </si>
  <si>
    <t>type 2 chain lacto series glycolipids</t>
  </si>
  <si>
    <t>This enzyme may play a key role in regulating the level of various types of lacto series tumor-associated antigens with the lacto type 1 or 2 chain.</t>
  </si>
  <si>
    <t>Synthesis of a dimeric Lewis X hexasaccharide derivative corresponding to a tumor-associated glycolipid.</t>
  </si>
  <si>
    <t>dimeric Lewis X hexasaccharide derivative</t>
  </si>
  <si>
    <t>The dimeric Lewis X hexasaccharide p-trifluoroacetamidophenylethyl O-beta-D-galactopyranosyl-(1----4)-O-[alpha-L-fucopyranosyl-(1----3)]-O- (2- acetamido-2-deoxy-beta-D-glucopyranosyl)-(1----3)-O-beta-D-galactopyrano syl- (1----4)-O-[alpha-L-fucopyranosyl-(1----3)]-2-acetamido-2-deoxy-beta-D- glucopyranoside (14), which is a derivative of a tumor-associated glycolipid, was synthesized from thioglycoside intermediates.</t>
  </si>
  <si>
    <t>dimeric Lewis X hexasaccharide</t>
  </si>
  <si>
    <t>A protected disaccharide was used as a key-intermediate for synthesis of the p-nitrophenylethyl glycoside of suitably protected O-beta-D-Galp-(1----4)-O-beta-D-GlcpN-(1----3)-O-beta-D-Galp-(1--- -4)-beta-D- GlcpN, which, after selective deblocking, was di-L-fucosylated and deprotected to give 14.</t>
  </si>
  <si>
    <t>disaccharide</t>
  </si>
  <si>
    <t>Isolation and characterization of the major acidic glycosphingolipids from the liver of the English sole (Parophrys vetulus).</t>
  </si>
  <si>
    <t>Presence of a novel ganglioside with a Forssman antigen determinant.</t>
  </si>
  <si>
    <t>ganglioside with a Forssman antigen determinant</t>
  </si>
  <si>
    <t>Forssman antigen determinant</t>
  </si>
  <si>
    <t>Acidic glycosphingolipids of the liver of English sole, Parophrys vetulus, have been isolated and characterized by 1H nuclear magnetic resonance spectroscopy, methylation analysis, and by direct probe electron-impact and fast atom bombardment mass spectrometry.</t>
  </si>
  <si>
    <t>In addition to the acidic glycosphingolipids with known structures (sulfatide, GM4, GM3, GM2, and GD1a), two fractions of a major monosialosylganglioside with TLC mobility slower than GM1 were isolated and characterized as having the following structure. (Formula:q see text).</t>
  </si>
  <si>
    <t>GM4</t>
  </si>
  <si>
    <t>monosialosylganglioside</t>
  </si>
  <si>
    <t>The structure represents a novel combination of a terminal Forssman disaccharide (GalNAc alpha 1----3GalNAc beta 1----3R) and a GM1 ganglioside core linked together.</t>
  </si>
  <si>
    <t>terminal Forssman disaccharide</t>
  </si>
  <si>
    <t>GM1 ganglioside core</t>
  </si>
  <si>
    <t>The identity of the terminal Forssman disaccharide was further established by TLC immunostaining with an anti-Forssman monoclonal antibody.</t>
  </si>
  <si>
    <t>This antibody showed strongly positive staining of the ganglioside only after removal of the sialic acid.</t>
  </si>
  <si>
    <t>Thus, the II3NeuAc residue inhibited antibody binding to the terminal disaccharide unit.</t>
  </si>
  <si>
    <t>terminal disaccharide</t>
  </si>
  <si>
    <t>Analysis of the ceramide moieties of both fractions indicated a predominance of 16:0, 22:1, 22:0, and 24:1 fatty acids in the faster migrating form and 16:0, 18:0, and 18:1 in the slower form in combination with d18:1 sphingosine.</t>
  </si>
  <si>
    <t>ceramide moieties</t>
  </si>
  <si>
    <t>Detection of patients with cancer by monoclonal antibody directed to lactoneotetraosylceramide (paragloboside).</t>
  </si>
  <si>
    <t>A hybridoma producing monoclonal antibody (H11) directed to lactoneotetraosylceramide (paragloboside) has been established from spleen cells of a mouse immunized with paragloboside.</t>
  </si>
  <si>
    <t>The monoclonal antibody H11 (immunoglobulin M type) was selected from five clones showing different reactivities with paragloboside.</t>
  </si>
  <si>
    <t>paragloboside</t>
  </si>
  <si>
    <t>The monoclonal antibody was highly specific to paragloboside and lacked reactivity with other glycolipids including glucosylceramide, lactosylceramide, globotriaosylceramide, globotetraosylceramide, gangliotriaosylceramide, gangliotetraosylceramide, and GalNAc beta 1-4[NeuAc alpha 2-3]Gal beta 1-4Glc beta 1-1Cer.</t>
  </si>
  <si>
    <t>gangliotriaosylceramide</t>
  </si>
  <si>
    <t>GalNAc beta 1-4[NeuAc alpha 2-3]Gal beta 1-4Glc beta 1-1Cer</t>
  </si>
  <si>
    <t>However, the monoclonal antibody (H11) was found to bind to lactosamine-containing glycolipids at their terminals, such as i- and I-type glycolipids as well as paragloboside.</t>
  </si>
  <si>
    <t>A two-step sandwich radioimmunoassay method for paragloboside antigen in serum was established by using the monoclonal antibody.</t>
  </si>
  <si>
    <t>paragloboside antigen</t>
  </si>
  <si>
    <t>The mean paragloboside antigen concentration in the sera from 20 normal individuals was 25.3 ng/ml.</t>
  </si>
  <si>
    <t>If the cutoff value was set at 80.9 ng/ml [25.3 + 2 x 27.8 (SD)], only 1 of 20 healthy controls had an elevated paragloboside value in the serum, whereas sera from 9 of 12 (75.0%) hepatoma, 4 of 10 (40%) pancreatic cancer, 16 of 40 (40.0%) stomach cancer, and 6 of 10 (60%) lung cancer patients had elevated paragloboside values.</t>
  </si>
  <si>
    <t>Sera from 3 of 8 hepatitis patients and 7 of 10 liver cirrhosis patients were estimated to be positive but sera from 16 patients with benign disease had paragloboside levels lower than the cutoff value.</t>
  </si>
  <si>
    <t>A larger amount of the antigen was found in liver metastases from colorectal carcinoma compared to the normal counterpart.</t>
  </si>
  <si>
    <t>The antigen was also detected in the medium of various human cancer cells and meconium.</t>
  </si>
  <si>
    <t>However, the antigen in the sera, medium, meconium, and cancer tissue seemed to be associated with glycoprotein or lipoprotein, because most of the antigen activity was eluted in the void volume fraction on high-performance liquid chromatography with a gel filtration column.</t>
  </si>
  <si>
    <t>Glycolipid-lectin interactions: reactivity of lectins from Helix pomatia, Wisteria floribunda, and Dolichos biflorus with glycolipids containing N-acetylgalactosamine.</t>
  </si>
  <si>
    <t>Glycolipid-lectin</t>
  </si>
  <si>
    <t>N-acetylgalactosamine</t>
  </si>
  <si>
    <t>The autoradiographic detection of 125I-labeled lectins binding to glycolipids on thin-layer chromatograms can be used to rapidly analyze total glycolipid extracts of cells or tissues for specific oligosaccharide structures.</t>
  </si>
  <si>
    <t>oligosaccharide structures</t>
  </si>
  <si>
    <t>The Helix pomatia lectin which binds with high affinity to terminal alpha-linked GalNAc residues did not bind to globoside (terminal beta 1-3GalNAc) but did bind the ganglioside GM2 and its asialo derivative which have terminal beta 1-4GalNAc residues.</t>
  </si>
  <si>
    <t>terminal alpha-linked GalNAc</t>
  </si>
  <si>
    <t>terminal beta 1-3GalNAc</t>
  </si>
  <si>
    <t>ganglioside GM2</t>
  </si>
  <si>
    <t>asialo derivative</t>
  </si>
  <si>
    <t>terminal beta 1-4GalNAc</t>
  </si>
  <si>
    <t>The lectin from Dolichos biflorus bound specifically to the Forssman glycolipid with relatively low affinity.</t>
  </si>
  <si>
    <t>The lectin from Wisteria floribunda was bound to Forssman glycolipid, globoside, and the asialo derivative of the ganglioside GM2.</t>
  </si>
  <si>
    <t>The interactions of these lectins with the glycolipid-derived, 3H-labeled oligosaccharides was also analyzed by affinity chromatography.</t>
  </si>
  <si>
    <t>glycolipid-derived</t>
  </si>
  <si>
    <t>The results indicated that the reactivity of multivalent carbohydrate-binding proteins with polyvalent surfaces of glycolipids is strong enough to permit detection of low-affinity interactions that may not be observed in binding assays that are based on carbohydrate-protein interactions in solution.</t>
  </si>
  <si>
    <t>carbohydrate-protein</t>
  </si>
  <si>
    <t>The autoradiographic analysis of 125I-Helix pomatia lectin binding to thin-layer chromatograms of total lipid extracts from human erythrocyte membranes detected the quantitative differences in the A-active glycolipids from type A1 and A2 cells.</t>
  </si>
  <si>
    <t>A-active glycolipids</t>
  </si>
  <si>
    <t>An antigen present in rat adenocarcinoma and normal colon non-epithelial stroma is a novel Forssman-like glycolipid based on isoglobotetraosylceramide.</t>
  </si>
  <si>
    <t>Forssman-like glycolipid</t>
  </si>
  <si>
    <t>A glycolipid with blood group A activity detected in the non-epithelial stroma of normal rat colon but not in epithelial cells (Hansson, G.C., Karlsson, K.-A., and Thurin, J. (1984) Biochim.</t>
  </si>
  <si>
    <t>Biophys.</t>
  </si>
  <si>
    <t>Acta 792, 281-292), was purified to homogeneity from normal rat colon and rat colon adenocarcinoma.</t>
  </si>
  <si>
    <t>Mass spectrometry and 1H-NMR spectroscopy of the intact permethylated derivative and gas chromatography after degradation revealed the structure GalNAc alpha 1----3GAINAc beta 1----3Gal alpha 1----3Gal beta 1----4Glc beta 1----1Cer, with the predominant ceramide containing sphingosine and non-hydroxylated 24:0 fatty acid.</t>
  </si>
  <si>
    <t>This identifies this glycolipid as a novel Forssman-like glycolipid, which is a tumor-associated antigen by definition, since it is not present in the normal rat large intestinal epithelium cells but in rat adenocarcinoma derived from these cells.</t>
  </si>
  <si>
    <t>Characterization of glycolipids from the gastric cancer of a patient of p,O,Le(a-,b+) blood type: presence of incompatible blood group antigens in tumor tissues.</t>
  </si>
  <si>
    <t>Le(a-,b+) blood type</t>
  </si>
  <si>
    <t>The antigens present in a gastric tumor obtained from a patient of blood group p,O,Le(a-,b+) were studied.</t>
  </si>
  <si>
    <t>blood group p,O,Le(a-,b+</t>
  </si>
  <si>
    <t>The neutral glycolipids were isolated from the cancer tissues and characterized chemically and immunologically.</t>
  </si>
  <si>
    <t>The glycolipid pattern of the tumor was similar to that of the surrounding uninvolved mucosae.</t>
  </si>
  <si>
    <t>The major neutral glycolipids were found to be glucosylceramide, galactosylceramide, lactosylceramide, and the lacto series glycolipids, including the H, Lea, and Leb active fucolipids.</t>
  </si>
  <si>
    <t>galactosylceramide</t>
  </si>
  <si>
    <t>lacto series glycolipids</t>
  </si>
  <si>
    <t>Leb active fucolipids</t>
  </si>
  <si>
    <t>The cancer tissues and the uninvolved mucosae did not contain galabiosylceramide, globotriaosylceramide, or globotetraosylceramide after separations by both thin layer chromatography and gas-liquid chromatography.</t>
  </si>
  <si>
    <t>galabiosylceramide</t>
  </si>
  <si>
    <t>Thin layer chromatography immunostaining was performed to detect incompatible blood group antigens.</t>
  </si>
  <si>
    <t>Immunostaining revealed the presence of globotriaosylceramide, globotetraosylceramide, Forssman glycolipid, and A active glycolipids in the cancer tissues.</t>
  </si>
  <si>
    <t>These incompatible blood group active glycolipids were absent from the uninvolved mucosae.</t>
  </si>
  <si>
    <t>blood group active glycolipids</t>
  </si>
  <si>
    <t>The results indicate that the cancer tissues possess the ability to produce the globo series of glycolipids and the A active antigens but that the surrounding uninvolved mucosae could not synthesize these glycolipids.</t>
  </si>
  <si>
    <t>globo</t>
  </si>
  <si>
    <t>Immunohistochemical localization of Y hapten and the structurally related H type-2 blood-group antigen on large-bowel tumours and normal adult tissues.</t>
  </si>
  <si>
    <t>H type-2 blood-group antigen</t>
  </si>
  <si>
    <t>The monoclonal antibody C14/1/46/10 which defines the Y hapten carbohydrate antigen (Brown et al., 1983) was shown, by the indirect immunoperoxidase technique, to stain tissue sections of 96% of colo-rectal adenocarcinomas and 100% of colo-rectal adenomas.</t>
  </si>
  <si>
    <t>Y hapten carbohydrate antigen</t>
  </si>
  <si>
    <t>In contrast, a monoclonal antibody defining the related H type-2 blood-group antigen was found to stain 86% of adenocarcinomas and 32% of adenomas.</t>
  </si>
  <si>
    <t>In adenocarcinomas the percentage of cells stained for both antigens was, on average, greater in group O than in group A patients.</t>
  </si>
  <si>
    <t>In adenomas a focal pattern of expression was observed, for both Y hapten and H type-2 antigen, that was characteristic of group A but not group O adenocarcinomas.</t>
  </si>
  <si>
    <t>H type-2 antigen</t>
  </si>
  <si>
    <t>In the normal mucosa of the distal colon, whilst H type-2 antigen was absent, Y hapten was found in the immature cells of the crypt bases.</t>
  </si>
  <si>
    <t>A comparison of the cellular phenotypes present in adenocarcinomas, adenomas and normal mucosa of the distal colon supports the adenoma-carcinoma sequence hypothesis for the genesis of colo-rectal carcinomas.</t>
  </si>
  <si>
    <t>In normal adult tissues Y hapten was predominantly found on epithelial cells whilst nervous tissues, muscles and connective tissues were negative.</t>
  </si>
  <si>
    <t>The expression of Y hapten in several positive tissues was dependent upon secretor status.</t>
  </si>
  <si>
    <t>A comparison of the expression of Y hapten and H type 2 antigen on normal adult tissues revealed that all of the permutations of expression of these two structurally related antigens were possible.</t>
  </si>
  <si>
    <t>H type 2 antigen</t>
  </si>
  <si>
    <t>Glycolipid antigens with blood group I and i specificities from human adult and umbilical cord erythrocytes.</t>
  </si>
  <si>
    <t>Glycolipid antigens</t>
  </si>
  <si>
    <t>blood group I</t>
  </si>
  <si>
    <t>Neutral glycolipids and gangliosides of umbilical cord and adult human erythrocytes were separated by high performance liquid chromatography, and each fraction was analyzed by direct binding of anti-I (Ma) and anti-i (Den) on solid phase glycolipid-lecithin-cholesterol.</t>
  </si>
  <si>
    <t>glycolipid-lecithin-cholesterol</t>
  </si>
  <si>
    <t>The I- and i-active glycolipids were isolated and their structures were determined by methylation analysis and direct probe mass spectrometry.</t>
  </si>
  <si>
    <t>i-active glycolipids</t>
  </si>
  <si>
    <t>The major I antigen in adult erythrocytes, showing a remarkable binding activity with anti-I(Ma), was found in one neutral glycolipid fraction, designated fraction y4, which was identified as a mixture of two glycolipids of a new type, lactoisooctaosylceramide and monofucosyllactoisooctaosylceramide (for structures, see Table I).</t>
  </si>
  <si>
    <t>lactoisooctaosylceramide</t>
  </si>
  <si>
    <t>monofucosyllactoisooctaosylceramide</t>
  </si>
  <si>
    <t>In addition, two gangliosides displaying direct binding activity with anti-I(Ma) were identified as monosialoganglioside G8, as previously described and disialosyllactoisooctaosylceramide, which showed the same level of I activity as the y4 glycolipid.</t>
  </si>
  <si>
    <t>monosialoganglioside</t>
  </si>
  <si>
    <t>disialosyllactoisooctaosylceramide</t>
  </si>
  <si>
    <t>y4 glycolipid</t>
  </si>
  <si>
    <t>The same ganglioside was recently isolated and characterized by Kundu and co-workers.</t>
  </si>
  <si>
    <t>The major i-active glycolipid antigen in umbilical cord erythrocytes, showing a strong binding activity with anti-i(Den), was a neutral glycolipid, x4a, which was identified as lactonorhexaosylceramide.</t>
  </si>
  <si>
    <t>i-active glycolipid antigen</t>
  </si>
  <si>
    <t>lactonorhexaosylceramide</t>
  </si>
  <si>
    <t>This glycolipid without fucosyl or sialosyl substitution has not been isolated previously and was present as an obvious normal component of umbilical cord erythrocytes, but an extremely minor component of adult erythrocytes.</t>
  </si>
  <si>
    <t>sialosyl substitution</t>
  </si>
  <si>
    <t>fucosyl substitution</t>
  </si>
  <si>
    <t>Sialosyllactonorhexaosylceramide (G6) was isolated and characterized as a second i antigen of umbilical cord erythrocytes, but showed a very weak binding activity with the anti-i antibody.</t>
  </si>
  <si>
    <t>Sialosyllactonorhexaosylceramide</t>
  </si>
  <si>
    <t>Although these sialosyl derivatives displayed only weak activity, the chemical quantity of the sialosyl derivatives is significantly large in fetal erythrocytes; therefore, Ii activity of human erythrocytes, in general, must be significantly dependent on sialosyl derivatives in addition to unsubstituted structures.</t>
  </si>
  <si>
    <t>sialosyl derivatives</t>
  </si>
  <si>
    <t>Enzymatic basis for changes in fucoganglioside during chemical carcinogenesis.</t>
  </si>
  <si>
    <t>fucoganglioside</t>
  </si>
  <si>
    <t>Induction of a specific alpha-fucosyltransferase and status of an alpha-galactosyltransferase in precancerous rat liver and hepatoma.</t>
  </si>
  <si>
    <t>Previous studies indicated that accumulation of alpha-fucosyl-GM1 (IV2FucII3NeuAcGgOse4Cer) and alpha-galactosyl-alpha-fucosyl-GM1 (IV3GalIV2FucII3NeuAcGgOse4Cer) occurs in precancerous livers of rats fed the chemical carcinogen N-2-acetylaminofluorene, before development of hepatoma.</t>
  </si>
  <si>
    <t>alpha-fucosyl-GM1</t>
  </si>
  <si>
    <t>alpha-galactosyl-alpha-fucosyl-GM1</t>
  </si>
  <si>
    <t>Both fucogangliosides were completely absent in normal rat liver as well as in livers of rats fed a nonhepatic carcinogen and tumor promoters (Holmes, E.H., and Hakomori, S. (1982) J.</t>
  </si>
  <si>
    <t>fucogangliosides</t>
  </si>
  <si>
    <t>Chem. 257, 7698-7703).</t>
  </si>
  <si>
    <t>The enzymatic basis of the chemical changes described above is reported in this paper.</t>
  </si>
  <si>
    <t>The alpha-L-fucosyltransferase activity toward GM1 (II2NeuAcGgOse4Cer) as well as asialo-GM1 (GgOse4Cer) was almost undetectable in extracts from normal rat liver, but significant activity of this enzyme was detected in extracts of rat livers after 4 weeks of feeding a diet containing N-2-acetylaminofluorene.</t>
  </si>
  <si>
    <t>The same enzyme activity in cultured rat hepatoma cells was 18- to 47-fold higher than in N-2-acetylaminofluorene-fed rat liver.</t>
  </si>
  <si>
    <t>In contrast, alpha-galactosyltransferase activity with a broad substrate specificity was detected in normal as well as in N-2-acetylaminofluorene-fed liver, although the specific activity of this enzyme in Golgi membranes in precancerous liver was significantly higher than that of normal rat liver.</t>
  </si>
  <si>
    <t>Thus, the appearance of alpha-fucosyl-alpha-galactosyl-GMI in precancerous liver is due to an induction of synthesis of alpha-fucosyl-GMI which is the substrate for the normally existing alpha-galactosyltransferase.</t>
  </si>
  <si>
    <t>alpha-fucosyl-alpha-galactosyl-GMI</t>
  </si>
  <si>
    <t>alpha-fucosyl-GMI</t>
  </si>
  <si>
    <t>The activity of alpha-fucosyltransferase was highly specific toward a substrate structure Gal beta 1 leads to 3GalNAc beta 1 leads to R in GMI or asialo-GMI and showed an anomalous inhibition by a large variety of detergents tested.</t>
  </si>
  <si>
    <t>3GalNAc beta 1</t>
  </si>
  <si>
    <t>GMI</t>
  </si>
  <si>
    <t>asialo-GMI</t>
  </si>
  <si>
    <t>In contrast, the alpha-galactosyltransferase showed a wide substrate specificity, activated by detergents and Mn2+ ion.</t>
  </si>
  <si>
    <t>Membrane alterations in precancerous and malignant transformation of rat liver is associated with an induction of an unusual alpha-fucosyltransferase which is the key step in synthesis of both fucogangliosides.</t>
  </si>
  <si>
    <t>Selectin ligands and tumor-associated carbohydrate structures: specificities of alpha 2,3-sialyltransferases in the assembly of 3'-sialyl-6-sialyl/sulfo Lewis a and x, 3'-sialyl-6'-sulfo Lewis x, and 3'-sialyl-6-sialyl/sulfo blood group T-hapten.</t>
  </si>
  <si>
    <t>sulfo Lewis a</t>
  </si>
  <si>
    <t>3'-sialyl-6'-sulfo Lewis x</t>
  </si>
  <si>
    <t>sulfo blood group T-hapten</t>
  </si>
  <si>
    <t>3'-sialyl-6-sialyl Lewis a</t>
  </si>
  <si>
    <t>3'-sialyl-6-sialyl blood group T-hapten</t>
  </si>
  <si>
    <t>The sequence in the assembly of the functional unit of selectin ligands containing sulfate, sialic acid, and fucose and also tumor-associated O-glycan structures was studied by examining the specificities of alpha 2,3-sialyltransferases (ST).</t>
  </si>
  <si>
    <t>O-glycan structures</t>
  </si>
  <si>
    <t>The first enzyme, porcine liver ST, was 57, 37, and 79% active (Km: 0.105, 0.420, and 0.200 mM), respectively, toward 6-sulfo, 6-sialyl, or 6-O-methyl derivatives of the Gal beta 1,3GalNAc alpha- unit; C-3 or C-6 substitution on Gal abolished sialylation.</t>
  </si>
  <si>
    <t>6-O-methyl derivatives</t>
  </si>
  <si>
    <t>Gal beta 1,3GalNAc alpha-</t>
  </si>
  <si>
    <t>Gal</t>
  </si>
  <si>
    <t>6-sulfo derivatives</t>
  </si>
  <si>
    <t>6-sialyl derivatives</t>
  </si>
  <si>
    <t>An acrylamide copolymer (MW approximately 40,000) containing approximately 40 T-haptens and asialo Cowper's gland mucin (MW approximately 200,000) containing approximately 48 T-haptens was 5-fold more active as an acceptor as compared to Gal beta 1, 3GalNAc alpha-O-Al on a molecular weight basis.</t>
  </si>
  <si>
    <t>acrylamide</t>
  </si>
  <si>
    <t>asialo</t>
  </si>
  <si>
    <t>3GalNAc alpha-O-Al</t>
  </si>
  <si>
    <t>The second enzyme, a cloned alpha-2,3-ST specific for lactose-based structure, was 70, 102, and 108% active (Km: 0.500, 0.210, and 0.330 mM), respectively, toward 6-sialyl, 6-sulfo, or 6-O-methyl derivatives of the Gal beta 1,3GlcNAc beta- unit; C-3 and C-6 substitution on Gal abolished sialylation.</t>
  </si>
  <si>
    <t>Gal beta 1,3GlcNAc beta-</t>
  </si>
  <si>
    <t>Gal beta 1,4GlcNAc beta- and its 6-sulfo derivative were approximately 20% active; the Lewis a structure, Gal beta 1,3- (Fuc alpha 1,4)GlcNAc beta-, was not an acceptor.</t>
  </si>
  <si>
    <t>Gal beta 1,4GlcNAc beta-</t>
  </si>
  <si>
    <t>6-sulfo derivative</t>
  </si>
  <si>
    <t>Lewis a structure</t>
  </si>
  <si>
    <t>The acrylamide copolymers containing approximately 40 units of Gal beta 1,3GlcNAc beta-, Gal beta 1,3(6-sulfo)GlcNAc beta-, or fetuin triantennary asialo or bovine IgG diantennary glycopeptides were respectively 5.9-, 5.4-, 0.7-, and 0.1-fold as active.</t>
  </si>
  <si>
    <t>Gal beta 1,3(6-sulfo)GlcNAc beta-</t>
  </si>
  <si>
    <t>triantennary asialo</t>
  </si>
  <si>
    <t>A transfer of 7-9 mol of NeuAc per mole of the above copolymers was catalyzed by this ST, the sialyl linkage being susceptible to alpha 2,3-specific sialidase.</t>
  </si>
  <si>
    <t>NeuAc</t>
  </si>
  <si>
    <t>sialyl linkage</t>
  </si>
  <si>
    <t>A partially purified Colo 205 Lewis type (alpha 1, 3/4) fucosyltransferase catalyzed the formation of 3'-sialyl-6-sulfo Lewis a from [9-3H]NeuAc alpha 2, 3Gal beta 1, 3(6-sulfo)GlcNAc beta-O-Allyl and copolymer containing [9-3H]NeuAc alpha 2, 3Gal beta 1, 3(6-sulfo)GlcNAc beta- units, using GDP[14C]Fuc as fucosyl donor.</t>
  </si>
  <si>
    <t>Lewis type</t>
  </si>
  <si>
    <t>3'-sialyl-6-sulfo Lewis a</t>
  </si>
  <si>
    <t>[9-3H]NeuAc alpha 2, 3Gal beta 1, 3(6-sulfo)GlcNAc beta-O-Allyl</t>
  </si>
  <si>
    <t>[9-3H]NeuAc alpha 2, 3Gal beta 1, 3(6-sulfo)GlcNAc beta-</t>
  </si>
  <si>
    <t>The third enzyme, HL-60 ST, was 103% active with Gal beta 3(6-sulfo)GalNAc alpha- but was only 8% active with 6-sialo compound; it showed 11.6-fold greater activity with the copolymer of T-hapten.</t>
  </si>
  <si>
    <t>6-sialo</t>
  </si>
  <si>
    <t>Further, we observed the alpha 2,3 sialylation of Gal beta 1,4GlcNAc beta- but not Gal beta 1,3GlcNAc beta- by HL60-ST, consistent with the occurrence of 3'-sialyl LacNAc and 3'-sialyl Lewis x units in leukosialin of HL60.(ABSTRACT TRUNCATED AT 400 WORDS).</t>
  </si>
  <si>
    <t>3'-sialyl Lewis x</t>
  </si>
  <si>
    <t>Structural analysis of the oligosaccharides derived from glycodelin, a human glycoprotein with potent immunosuppressive and contraceptive activities.</t>
  </si>
  <si>
    <t>Glycodelin, also known as placental protein 14 (PP14) or progesterone-associated endometrial protein (PAEP), is a human glycoprotein with potent immunosuppressive and contraceptive activities.</t>
  </si>
  <si>
    <t>In this paper we report the first characterization of glycodelin-derived oligosaccharides.</t>
  </si>
  <si>
    <t>Using strategies based upon fast atom bombardment and electrospray mass spectrometry we have established that glycodelin is glycosylated at Asn-28 and Asn-63.</t>
  </si>
  <si>
    <t>The Asn-28 site carries high mannose, hybrid and complex-type structures, whereas the second site is exclusively occupied by complex-type glycans.</t>
  </si>
  <si>
    <t>high mannose</t>
  </si>
  <si>
    <t>hybrid</t>
  </si>
  <si>
    <t>complex-type structures</t>
  </si>
  <si>
    <t>complex-type glycans</t>
  </si>
  <si>
    <t>The major non-reducing epitopes in the complex-type glycans are: Gal beta 1-4GlcNAc (lacNAc), GalNAc beta 1-4GlcNAc (lacdiNAc), NeuAc alpha 2-6Gal beta 1-4GlcNAc (sialylated lacNAc), NeuAc alpha 2-6Gal beta 1-4GlcNAc (sialylated lacdiNAc), Gal beta 1-4(Fuc alpha 1-3)GlcNAc (Lewisx), and GalNAc beta 1-4(Fuc alpha 1-3)GlcNAc (lacdiNAc analogue of Lewisx).</t>
  </si>
  <si>
    <t>epitopes</t>
  </si>
  <si>
    <t>Gal beta 1-4GlcNAc</t>
  </si>
  <si>
    <t>GalNAc beta 1-4GlcNAc</t>
  </si>
  <si>
    <t>NeuAc alpha 2-6Gal beta 1-4GlcNAc</t>
  </si>
  <si>
    <t>Gal beta 1-4(Fuc alpha 1-3)GlcNAc</t>
  </si>
  <si>
    <t>Lewisx</t>
  </si>
  <si>
    <t>It is possible that the oligosaccharides bearing sialylated lacNAc or lacdiNAc antennae may manifest immunosuppressive effects by specifically blocking adhesive and activation-related events mediated by CD22, the human B cell associated receptor.</t>
  </si>
  <si>
    <t>sialylated lacNAc</t>
  </si>
  <si>
    <t>lacdiNAc antennae</t>
  </si>
  <si>
    <t>Oligosaccharides with fucosylated lacdiNAc antennae have previously been shown to potently block selectin-mediated adhesions and may perform the same function in glycodelin.</t>
  </si>
  <si>
    <t>Oligosaccharides</t>
  </si>
  <si>
    <t>fucosylated lacdiNAc antennae</t>
  </si>
  <si>
    <t>The potent inhibitory effect of glycodelin on initial human sperm-zona pellucida binding is consistent with our previous suggestion that this cell adhesion event requires a selectin-like adhesion process.</t>
  </si>
  <si>
    <t>This result also raises the possibility that a convergence between immune and gamete recognition processes may have occurred in the types of carbohydrate ligands recognized in the human.</t>
  </si>
  <si>
    <t>carbohydrate</t>
  </si>
  <si>
    <t>Sulfated oligosaccharides isolated from the respiratory mucins of a secretor patient suffering from chronic bronchitis.</t>
  </si>
  <si>
    <t>Sulfated oligosaccharides</t>
  </si>
  <si>
    <t>The most acidic carbohydrate chains released by alkaline borohydride treatment of the bulk of airway mucins secreted by a patient (blood group O, secretor) suffering from a mildly infected chronic bronchitis have been fractionated using high-performance anion-exchange chromatography (HPAEC) according to a protocol already described [Lo-Guidice et al., J.</t>
  </si>
  <si>
    <t>carbohydrate chains</t>
  </si>
  <si>
    <t>Chem. 269 (1994) 18794] and were analyzed using 1H-NMR spectroscopy and matrix-assisted laser-adsorption-time-of-flight (MALDI-TOF) spectrometry.</t>
  </si>
  <si>
    <t>Many fractions corresponded to mixtures of oligosaccharides.</t>
  </si>
  <si>
    <t>This confirmed the wide diversity of the post-translational processes involved in the biosynthesis of airway mucins, which had already been observed in bronchial diseases, such as chronic bronchitis and cystic fibrosis (CF).</t>
  </si>
  <si>
    <t>Seven fractions were directly purified by HPAEC, allowing their structural determination.</t>
  </si>
  <si>
    <t>Six of them corresponded to 3-O-sulfated oligosaccharide chains terminated by a sulfated N-acetyllactosamine, a sulfated Lewis X or a sulfated Lewis A determinant, and the last one corresponded to a 6-O-sulfated chain terminated by a sulfated H-2 determinant.</t>
  </si>
  <si>
    <t>3-O-sulfated oligosaccharide chains</t>
  </si>
  <si>
    <t>sulfated N-acetyllactosamine</t>
  </si>
  <si>
    <t>sulfated Lewis X</t>
  </si>
  <si>
    <t>sulfated Lewis A determinant</t>
  </si>
  <si>
    <t>6-O-sulfated chain</t>
  </si>
  <si>
    <t>sulfated H-2 determinant</t>
  </si>
  <si>
    <t>Three oligosaccharides had core type 2 and the other four had core type 4: IIIc2-9: Gal(beta1-3)[HSO(3)-3-Gal(beta1-4)GlcNAc(beta1-6)]GalNAc-ol, IIIc2-10: Gal(beta1-3)[Fuc(alpha1-2)Gal(beta1-4)[HSO(3)-6-]GlcNAc(beta1-6)]GalNAc-ol, IIIc2-4: Fuc(alpha1-2)Gal(beta1-3)[HSO(3)-3-Gal(beta1-4)[Fuc(alpha1-3)]GlcNAc(beta1-6)]GalNAc-ol, IIIc2-8: Fuc(alpha1-2)Gal(beta1-3)GlcNAc(beta1-3)[HSO(3)-3-Gal(beta1-4)GlcNAc(beta1-6)]GalNAc-ol, IIIc2-7: Fuc(alpha1-2)Gal(beta1-3)GlcNAc(beta1-3)[Gal(beta1-4)[HSO(3)-6-]GlcNAc(beta1-6)]GalNAc-ol, IIIc2-3: Fuc(alpha1-2)Gal(beta1-3)GlcNAc(beta1-3)[HSO(3)-3-Gal(beta1-4)[Fuc(alpha1-3)]GlcNAc(beta1-6)]GalNAc-ol, IIIc1-4: Fuc(alpha1-2)Gal(beta1-3)GlcNAc(beta1-3)[HSO(3) -3-Gal(beta1-3)[Fuc(alpha1-4)]GlcNAc(beta1-3)Gal(beta1-4)GlcNAc(beta1-6)]GalNAc-ol.</t>
  </si>
  <si>
    <t>core type 2</t>
  </si>
  <si>
    <t>core type 4</t>
  </si>
  <si>
    <t>Gal(beta1-3)[HSO(3)-3-Gal(beta1-4)GlcNAc(beta1-6)]GalNAc-ol</t>
  </si>
  <si>
    <t>Gal(beta1-3)[Fuc(alpha1-2)Gal(beta1-4)[HSO(3)-6-]GlcNAc(beta1-6)]GalNAc-ol</t>
  </si>
  <si>
    <t>Like previous data concerning the airway mucins from another patient (blood group O and non-secretor) suffering from chronic bronchitis [Lo-Guidice et al., Glycoconj.</t>
  </si>
  <si>
    <t>J. 14 (1997) 113], no disialylated oligosaccharide and no sialylated and sulfated oligosaccharide bearing sialyl Lewis X epitope could be isolated.</t>
  </si>
  <si>
    <t>disialylated oligosaccharide</t>
  </si>
  <si>
    <t>sialylated oligosaccharide</t>
  </si>
  <si>
    <t>sulfated oligosaccharide</t>
  </si>
  <si>
    <t>sialyl Lewis X epitope</t>
  </si>
  <si>
    <t>This is in contrast with the data obtained with the airway mucins secreted by the patient severely infected by Pseudomonas aeruginosa and suffering from CF, suggesting that important differences occur in the biosynthesis of airway mucins secreted by patients suffering from different bronchial diseases with or without severe infection.</t>
  </si>
  <si>
    <t>Expression of chondroitin sulfate and keratan sulfate proteoglycans in the path of growing retinal axons in the developing chick.</t>
  </si>
  <si>
    <t>Previous investigations have identified proteoglycans in the central nervous system during development and have implicated some proteoglycans as axon guidance molecules that act by inhibiting axon extension.</t>
  </si>
  <si>
    <t>The present study investigated the pattern of immunoreactivity for several glycosaminoglycans common to certain proteoglycans relative to growing retinal axons in the developing chick visual system and in retinal explant cultures.</t>
  </si>
  <si>
    <t>glycosaminoglycans</t>
  </si>
  <si>
    <t>Immunostaining for chondroitin-6-sulfate, chondroitin-4-sulfate, and keratan sulfate was observed to colocalize with retinal axons throughout the retinofugal pathway during the entire period of retinal axon growth.</t>
  </si>
  <si>
    <t>chondroitin-6-sulfate</t>
  </si>
  <si>
    <t>chondroitin-4-sulfate</t>
  </si>
  <si>
    <t>The proteoglycan form of collagen IX, however, was only observed in the retina, primarily peripheral to the areas with actively growing axons.</t>
  </si>
  <si>
    <t>The pattern of immunostaining for chondroitin sulfate in tissue sections suggested that the retinal axons might be a source for some of the chondroitin sulfate immunostaining in the developing visual pathway.</t>
  </si>
  <si>
    <t>This was confirmed in that chondroitin sulfate immunostaining was also observed on neurites emanating from cultured retinal explants.</t>
  </si>
  <si>
    <t>These findings indicate that retinal axons grow in the presence of chondroitin sulfate and keratan sulfate proteoglycans and that these proteoglycans in the developing chick visual pathway have functions other than to inhibit axon growth.</t>
  </si>
  <si>
    <t>Biosynthetic pathway for a new series of gangliosides, GT1a alpha and GQ1b alpha.</t>
  </si>
  <si>
    <t>GT1a alpha</t>
  </si>
  <si>
    <t>GQ1b alpha</t>
  </si>
  <si>
    <t>A new class of gangliosides, GT1a alpha and GQ1b alpha, were initially identified as cholinergic neuron-specific antigens in bovine brain.</t>
  </si>
  <si>
    <t>These gangliosides have in common alpha 2-6 NeuAc linked to the GalNAc residue in the gangliotetraose core structure.</t>
  </si>
  <si>
    <t>alpha 2-6 NeuAc</t>
  </si>
  <si>
    <t>gangliotetraose core structure</t>
  </si>
  <si>
    <t>In this study, we have determined the biosynthetic pathways of GT1a alpha and GQ1b alpha using rat liver Golgi fraction.</t>
  </si>
  <si>
    <t>The results showed that GT1a alpha and GQ1b alpha were synthesized from GD1a and GT1b, respectively, by the action of a GalNAc alpha 2-6 sialyltransferase.</t>
  </si>
  <si>
    <t>It was also demonstrated that these two gangliosides were found to exist as extremely minor components in rat liver.</t>
  </si>
  <si>
    <t>Measuring H type 1 and H type 2 antigens in human saliva by immunoassay using artificial antigens as standard substances.</t>
  </si>
  <si>
    <t>H type 2 antigens</t>
  </si>
  <si>
    <t>H type 1 antigens</t>
  </si>
  <si>
    <t>A time-resolved fluorometric immunoassay for water-soluble H antigens of ABH blood group substances has been developed.</t>
  </si>
  <si>
    <t>H antigens</t>
  </si>
  <si>
    <t>ABH blood group</t>
  </si>
  <si>
    <t>Introducing artificial antigens (trisaccharide-albumin complexes for H type 1 and H type 2) as reference substances, H blood group substances in human saliva were measured.</t>
  </si>
  <si>
    <t>H type 1</t>
  </si>
  <si>
    <t>H blood group</t>
  </si>
  <si>
    <t>The monoclonal antibody, anti-H 1E3, reacted with both H type 1 and type 2 chains, and the commercially available anti-H reacted with H type 2 chain.</t>
  </si>
  <si>
    <t>Using these two antibodies we found 10-20-fold higher concentration of H type 1 compared with that of H type 2 in human saliva.</t>
  </si>
  <si>
    <t>The H type 2 was not found in the saliva samples from nonsecretors, irrespective of ABO phenotypes.</t>
  </si>
  <si>
    <t>The results suggest that approximately 90% of A and B blood group substances in human saliva are built on type 1 chains.</t>
  </si>
  <si>
    <t>type 1 chains</t>
  </si>
  <si>
    <t>6'-sulfated sialyl Lewis x is a major capping group of GlyCAM-1.</t>
  </si>
  <si>
    <t>6'-sulfated sialyl Lewis x</t>
  </si>
  <si>
    <t>The binding of L-selectin to the HEV-derived ligand GlyCAM-1 bears a strict requirement for oligosaccharide sulfation.</t>
  </si>
  <si>
    <t>In the companion study [Hemmerich, S., Bertozzi, C.R., Leffler, H., &amp; Rosen, S.</t>
  </si>
  <si>
    <t>D. (1994) Biochemistry 33, 4820-4829], we identified the major sulfated mono- and disaccharides of GlyCAM-1 as Gal-6-SO4, GlcNAc-6-SO4, (SO4-6)Gal beta 1--&gt;4GlcNAc, and Gal beta 1--&gt;4(SO4-6)GlcNAc.</t>
  </si>
  <si>
    <t>Gal-6-SO4</t>
  </si>
  <si>
    <t>GlcNAc-6-SO4</t>
  </si>
  <si>
    <t>(SO4-6)Gal beta 1--&gt;4GlcNAc</t>
  </si>
  <si>
    <t>sulfated monosaccharides</t>
  </si>
  <si>
    <t>sulfated disaccharides</t>
  </si>
  <si>
    <t>Sialic acid and fucose are also critical to the recognition determinants on GlyCAM-1.</t>
  </si>
  <si>
    <t>Sialic acid</t>
  </si>
  <si>
    <t>determinants</t>
  </si>
  <si>
    <t>However, the hydrolysis conditions employed in the previous study resulted in cleavage of these moieties, precluding their positional assignment.</t>
  </si>
  <si>
    <t>Here, we employ lectins of defined specificity in conjunction with specific exoglycosidases to identify a major GlyCAM-1 capping structure that includes all three critical elements.</t>
  </si>
  <si>
    <t>The complementary reactivity of Maackia amurensis agglutinin with fully sialylated, undersulfated GlyCAM-1 and Sambucus nigra agglutinin/Trichosanthes japonica agglutinin with desialylated but normally sulfated GlyCAM-1 indicates the presence of terminal 6'-sulfated sialyllactosamine. alpha (1--&gt;3/4)Fucosidase removes fucose almost quantitatively from asialo-GlyCAM-1 while substantially enhancing its binding to Lycopersican esculentum agglutinin (specific for beta 1--&gt;4-linked GlcNAc), indicating the presence of Fuc in an alpha 1--&gt;3 linkage to GlcNAc.</t>
  </si>
  <si>
    <t>terminal 6'-sulfated sialyllactosamine</t>
  </si>
  <si>
    <t>asialo-GlyCAM-1</t>
  </si>
  <si>
    <t>The strict requirement for desialylation to achieve defucosylation indicates a proximal location of Fuc with respect to terminal sialic acid.</t>
  </si>
  <si>
    <t>Fuc</t>
  </si>
  <si>
    <t>The nature of the capping group was further defined by studying the effects of sulfation, sialylation, and fucosylation on the ability of exo-beta(1--&gt;4)galactosidase to release [3H]Gal from GlyCAM-1.(ABSTRACT TRUNCATED AT 250 WORDS).</t>
  </si>
  <si>
    <t>Cultured cerebellar granule cells, but not astrocytes, produce an ester of ganglioside GD1b, presumably GD1b monolactone, from exogenous GD1b.</t>
  </si>
  <si>
    <t>ganglioside GD1b</t>
  </si>
  <si>
    <t>GD1b monolactone</t>
  </si>
  <si>
    <t>Granule cells and astrocytes from rat cerebellum were fed in culture with 2 microM ganglioside [Gal-3H]GD1b and then analysed for the presence of carboxyl esters of that ganglioside.</t>
  </si>
  <si>
    <t>Before extraction and purification of gangliosides, cells were treated with NaBH4 under conditions that would allow complete reductive cleavage of carboxyl ester linkages, [Gal-3H]GD1b monolactone and dilactone being used as reference esters of GD1b.</t>
  </si>
  <si>
    <t>These conditions, established by adding harvested cells (250 micrograms of protein) with 0.01-2 nmol of standard [Gal-3H]GD1b monolactone or dilactone and [Gal-3H]GD1b-1ol or -2ol formed respectively, consisted of an NaBH4/cell protein ratio of 2:1 (w/w).</t>
  </si>
  <si>
    <t>Cerebellar granule cells, but not astrocytes, were able to produce a radioactive compound which was identified as GD1b-1ol.</t>
  </si>
  <si>
    <t>GD1b-1ol</t>
  </si>
  <si>
    <t>The formation of this compound increased with pulse (up to 4 h) and chase (up to 3 h) time after a 2 h pulse and also occurred when ganglioside endocytosis was blocked.</t>
  </si>
  <si>
    <t>It can be concluded that cerebellar granule cells are able to convert ganglioside GD1b into a carboxyl ester form, presumably GD1b monolactone.</t>
  </si>
  <si>
    <t>The natural occurrence of the same GD1b carboxyl ester in cerebellar granule cells was also demonstrated.</t>
  </si>
  <si>
    <t>Ganglioside GM3 inhibits the proliferation of cultured keratinocytes.</t>
  </si>
  <si>
    <t>Ganglioside GM3</t>
  </si>
  <si>
    <t>Ganglioside GM3 is the predominant ganglioside of keratinocyte membranes.</t>
  </si>
  <si>
    <t>It has been proposed in other cell types that GM3 may participate in the regulation of cell proliferation.</t>
  </si>
  <si>
    <t>To examine the role of GM3 in keratinocyte proliferation, purified GM3 was added to cultured keratinocytes from normal foreskin, from lesional skin of patients with psoriasis and ichthyosis, and to cutaneous squamous carcinoma cell lines.</t>
  </si>
  <si>
    <t>Supplemental GM3 inhibited the growth of all cultured keratinocytes in a dose-dependent manner at concentrations of 10-100 microM.</t>
  </si>
  <si>
    <t>Keratinocytes from patients with psoriasis and ichthyosis were most sensitive to the inhibitory effects of GM3, and confluent undifferentiated keratinocytes were least sensitive.</t>
  </si>
  <si>
    <t>No change in differentiation was noted after addition of GM3.</t>
  </si>
  <si>
    <t>GD3, 9-0-acetyl-GD3, and GD1b also inhibited keratinocyte proliferation.</t>
  </si>
  <si>
    <t>9-0-acetyl-GD3</t>
  </si>
  <si>
    <t>Gangliosides GM1 and GD1a and sialic acid had little effect.</t>
  </si>
  <si>
    <t>Gangliosides GM1</t>
  </si>
  <si>
    <t>Addition of 50 microM 3H-GM3 to cultured keratinocytes resulted in 1.7 times the amount of cellular GM3.</t>
  </si>
  <si>
    <t>These data suggest that hematoside (GM3) and "b" pathway gangliosides (GD3, GD1b), generated by the preferential activation of sialyltransferase II versus N-acetylgalactosaminyltransferase, may be involved in control of keratinocyte growth but not of differentiation.</t>
  </si>
  <si>
    <t>Topology of sphingolipid galactosyltransferases in ER and Golgi: transbilayer movement of monohexosyl sphingolipids is required for higher glycosphingolipid biosynthesis.</t>
  </si>
  <si>
    <t>monohexosyl sphingolipids</t>
  </si>
  <si>
    <t>Glucosylceramide (GlcCer) is synthesized at the cytosolic surface of the Golgi complex while enzymes acting in late steps of glycosphingolipid biosynthesis have their active centers in the Golgi lumen.</t>
  </si>
  <si>
    <t>However, the topology of the "early" galactose-transferring enzymes is largely unknown.</t>
  </si>
  <si>
    <t>We used short-chain ceramides with either an 2-hydroxy fatty acid (HFA) or a normal fatty acid (NFA) to determine the topology of the galactosyltransferases involved in the formation of HFA- and NFA-galactosylceramide (GalCer), lactosylceramide (LacCer), and galabiosylceramide (Ga2Cer).</t>
  </si>
  <si>
    <t>Although the HFA-GalCer synthesizing activity colocalized with an ER marker, the other enzyme activities fractionated at the Golgi density of a sucrose gradient.</t>
  </si>
  <si>
    <t>HFA-GalCer</t>
  </si>
  <si>
    <t>In cell homogenates and permeabilized cells, newly synthesized short-chain GlcCer and GalCer were accessible to serum albumin, whereas LacCer and Ga2Cer were protected.</t>
  </si>
  <si>
    <t>short-chain GlcCer</t>
  </si>
  <si>
    <t>GalCer</t>
  </si>
  <si>
    <t>Ga2Cer</t>
  </si>
  <si>
    <t>From this and from the results obtained after protease treatment, and after interfering with UDP-Gal import into the Golgi, we conclude that (a) GlcCer and NFA-GalCer are synthesized in the cytosolic leaflet, while LacCer and Ga2Cer are synthesized in the lumenal leaflet of the Golgi. (b) HFA-GalCer is synthesized in the lumenal leaflet of the ER, but has rapid access to the cytosolic leaflet. (c) GlcCer, NFA-GalCer, and HFA-GalCer translocate from the cytosolic to the lumenal leaflet of the Golgi membrane.</t>
  </si>
  <si>
    <t>UDP-Gal</t>
  </si>
  <si>
    <t>The transbilayer movement of GlcCer and NFA-GalCer in the Golgi complex is an absolute requirement for higher glycosphingolipid biosynthesis and for the cell surface expression of these monohexosyl sphingolipids.</t>
  </si>
  <si>
    <t>Expression and localization of Lewis(x) glycolipids and GD1a ganglioside in human glioma cells.</t>
  </si>
  <si>
    <t>Lewis(x) glycolipids</t>
  </si>
  <si>
    <t>GD1a ganglioside</t>
  </si>
  <si>
    <t>We analysed the glycolipid composition of glioma cells (N-370 FG cells), which are derived from a culture of transformed human fetal glial cells.</t>
  </si>
  <si>
    <t>The neutral and acidic glycolipid fractions were isolated by column chromatography on DEAE-Sephadex and analysed by high-performance thin-layer chromatography (HPTLC).</t>
  </si>
  <si>
    <t>The neutral glycolipid fraction contained 1.6 micrograms of lipid-bound glucose/galactose per mg protein and consisted of GlcCer (11.4% of total neutral glycolipids), GalCer (21.5%), LacCer (21.4%), Gb4 (21.1%), and three unknown neutral glycolipids (23%).</t>
  </si>
  <si>
    <t>These unknown glycolipids were characterized as Lewis(x) (fucosylneolactonorpentaosyl ceramide; Le(x)), difucosylneolactonorhexaosyl ceramide (dimeric Le(x)), and neolactonorhexaosyl ceramide (nLc6) by an HPTLC-overlay method for glycolipids using specific mouse anti-glycolipid antibodies against glycolipid and/or liquid-secondary ion (LSI) mass spectrometry.</t>
  </si>
  <si>
    <t>Lewis(x)</t>
  </si>
  <si>
    <t>difucosylneolactonorhexaosyl ceramide</t>
  </si>
  <si>
    <t>neolactonorhexaosyl ceramide</t>
  </si>
  <si>
    <t>The ganglioside fraction contained 0.6 micrograms of lipid-bound sialic acid per mg protein with GD1a as the predominant ganglioside species (83% of the total gangliosides) and GM3, GM2, and GM1 as minor components.</t>
  </si>
  <si>
    <t>Trace amounts of sialyl-Le(x) and the complex type of sialyl-Le(x) derivatives were also present.</t>
  </si>
  <si>
    <t>sialyl-Le(x)</t>
  </si>
  <si>
    <t>Immunocytochemical studies revealed that GD1a and GalCer were primarily localized on the surface of cell bodies.</t>
  </si>
  <si>
    <t>Interestingly, Le(x) glycolipids and sialyl-Le(x) were localized not only on the cell bodies but also on short cell processes.</t>
  </si>
  <si>
    <t>Le(x) glycolipids</t>
  </si>
  <si>
    <t>Especially, sialyl-Le(x) glycolipid was located on the tip of fine cellular processes.</t>
  </si>
  <si>
    <t>sialyl-Le(x) glycolipid</t>
  </si>
  <si>
    <t>The unique localization of the Le(x) glycolipids suggests that they may be involved in cellular differentiation and initiation of cellular growth in this cell line.</t>
  </si>
  <si>
    <t>Tissue and developmental specificity of a polysialo-ganglioside species in the amphibian Xenopus.</t>
  </si>
  <si>
    <t>polysialo-ganglioside</t>
  </si>
  <si>
    <t>Xenopus embryos contain a considerable amount of a polysialo-ganglioside not yet fully characterized; in this paper, we will refer to it as ganglioside XI.</t>
  </si>
  <si>
    <t>ganglioside XI</t>
  </si>
  <si>
    <t>Preliminary experiments indicate asialo-GMI as the core structure of the ganglioside XI and palmitic and oleic acid as the fatty acids of the ceramide moiety.</t>
  </si>
  <si>
    <t>ceramide moiety</t>
  </si>
  <si>
    <t>Further analyses by comparative 2D-TLC with adult fish and chick embryo brains indicate the pentasialilated ganglioside GP1c as the possible structure of XI.</t>
  </si>
  <si>
    <t>pentasialilated ganglioside GP1c</t>
  </si>
  <si>
    <t>In the adult Xenopus, XI characterizes the ganglioside pattern of the central nervous system while is absent in all the other tested tissues.</t>
  </si>
  <si>
    <t>At least two other more polar (presumably richer in sialic acid) bands are often visible under XI, both in embryos and in brain and spinal cord tissues of adult Xenopus.</t>
  </si>
  <si>
    <t>The persistence of polysialo-gangliosides in the brain and spinal cord of adult amphibians could serve to guarantee a proper functioning of the central nervous system at low body temperature.</t>
  </si>
  <si>
    <t>polysialo-gangliosides</t>
  </si>
  <si>
    <t>Identification of 9-O acetyl sialoglycoconjugates (9-OAcSGs) as biomarkers in childhood acute lymphoblastic leukemia using a lectin, AchatininH, as a probe.</t>
  </si>
  <si>
    <t>9-O acetyl sialoglycoconjugates</t>
  </si>
  <si>
    <t>Neoplastic transformation causes changes in cell surface architecture, most notably, aberrant sialylation.</t>
  </si>
  <si>
    <t>Exploiting the restricted specificity of a 9-O acetyl sialic acid (9-OAcSA) binding lectin, AchatininH (ATN(H)), we have identified two 9-O acetyl sialoglyconjugates (9-OAcSGs) on lymphoblasts of 87 children suffering from acute lymphoblastic leukemia (ALL).</t>
  </si>
  <si>
    <t>9-O acetyl sialic acid</t>
  </si>
  <si>
    <t>9-O acetyl sialoglyconjugates</t>
  </si>
  <si>
    <t>The preferential binding of ATN(H) to lymphoblasts induces their 11-fold increased agglutination (81 +/- 7.8%) compared to peripheral blood mononuclear cells (PBMC) of normal donors (8 +/- 4.3%) which corroborates with flow cytometry studies.</t>
  </si>
  <si>
    <t>Agglutination of MOLT-4 (87 +/- 4.8%), a lymphoblastoid cell line and MDCK (91.25 +/- 0.01%), a cell line expressing surface 9-OAcSA, confirms the preferential binding of ATN(H) to lymphoblasts through their surface 9-OAcSGs.</t>
  </si>
  <si>
    <t>9-OAcSA</t>
  </si>
  <si>
    <t>9-OAcSGs</t>
  </si>
  <si>
    <t>Furthermore, fluorometric quantitation reveals a 4.6-fold increase in % of 9-OAcSA on lymphoblasts of ALL patients (42.1 +/- 4.1%) compared to normal donors (9.2 +/- 3.4%).</t>
  </si>
  <si>
    <t>Western blotting confirms that ATN(H) recognizes two membrane sialoglycoconjugates, of MW 120 kDa and 90 kDa, both having 9-OAcSA alpha2 --&gt; 6 GalNAc terminal sugar moiety as their lectinogenic epitope.</t>
  </si>
  <si>
    <t>sialoglycoconjugates</t>
  </si>
  <si>
    <t>We propose that these 9-OAcSGs may serve as biomarkers for detection and monitoring of lymphoblasts in ALL and accordingly merit therapeutic considerations.</t>
  </si>
  <si>
    <t>Sequential biosynthesis of sulfated and/or sialylated Lewis x determinants by transferases of the human bronchial mucosa.</t>
  </si>
  <si>
    <t>sialylated Lewis x determinants</t>
  </si>
  <si>
    <t>sulfated Lewis x determinants</t>
  </si>
  <si>
    <t>The structural determination of sulfated carbohydrate chains from a cystic fibrosis patient respiratory mucins has shown that sulfation may occur either on the C-3 of the terminal Gal, or on the C-6 of the GlcNAc residue of a terminal N -acetyllactosamine unit.</t>
  </si>
  <si>
    <t>sulfated carbohydrate chains</t>
  </si>
  <si>
    <t>terminal Gal</t>
  </si>
  <si>
    <t>GlcNAc</t>
  </si>
  <si>
    <t>terminal N -acetyllactosamine</t>
  </si>
  <si>
    <t>The two enzymes responsible for the transfer of sulfate from PAPS to the C-3 of Gal or to the C-6 of GlcNAc residues have been characterized in human respiratory mucosa.</t>
  </si>
  <si>
    <t>These two enzymes, in conjunction with fucosyl- and sialyltransferases, allow the synthesis of different sulfated epitopes such as 3-sulfo Lewis x (with a 3- O -sulfated Gal), 6-sulfo Lewis x and 6-sulfo-sialyl Lewis x (with a 6- O -sulfated GlcNAc).</t>
  </si>
  <si>
    <t>sulfated epitopes</t>
  </si>
  <si>
    <t>3-sulfo Lewis x</t>
  </si>
  <si>
    <t>3- O -sulfated Gal</t>
  </si>
  <si>
    <t>6-sulfo Lewis x</t>
  </si>
  <si>
    <t>6-sulfo-sialyl Lewis x</t>
  </si>
  <si>
    <t>6- O -sulfated GlcNAc</t>
  </si>
  <si>
    <t>In the present study, the sequential biosynthesis of these epitopes has been investigated using microsomal fractions from human respiratory mucosa incubated with radiolabeled nucleotide-sugars or PAPS, and oligosaccharide acceptors, mostly prepared from human respiratory mucins.</t>
  </si>
  <si>
    <t>The structures of the radiolabeled products have been determined by their coelution in HPAEC with known oligosaccharidic standards.</t>
  </si>
  <si>
    <t>oligosaccharidic</t>
  </si>
  <si>
    <t>In the biosynthesis of 6- O -sulfated carbohydrate chains by the human respiratory mucosa, the 6- O -sulfation of a terminal nonreducing GlcNAc residue precedes beta1-4-galactosylation, alpha2-3-sialylation (to generate 6-sulfo-sialyl- N -acetyllactosamine), and alpha1-3-fucosylation (to generate the 6-sulfo-sialyl Lewis x determinant).</t>
  </si>
  <si>
    <t>6- O -sulfated carbohydrate chains</t>
  </si>
  <si>
    <t>6- O -sulfation of a terminal nonreducing GlcNAc</t>
  </si>
  <si>
    <t>6-sulfo-sialyl- N -acetyllactosamine</t>
  </si>
  <si>
    <t>6-sulfo-sialyl Lewis x determinant</t>
  </si>
  <si>
    <t>The 3- O -sulfation of a terminal N -acetyllactosamine may occur if this carbohydrate unit is not substituted.</t>
  </si>
  <si>
    <t>3- O -sulfation of a terminal N -acetyllactosamine</t>
  </si>
  <si>
    <t>Once an N -acetyllactosamine unit is synthesized, alpha1-3-fucosylation of the GlcNAc residue to generate a Lewis x structure blocks any further substitution.</t>
  </si>
  <si>
    <t>N -acetyllactosamine</t>
  </si>
  <si>
    <t>Lewis x structure</t>
  </si>
  <si>
    <t>Therefore, the present study defines the pathways for the biosynthesis of Lewis x, sialyl Lewis x, sulfo Lewis x, and 6-sulfo-sialyl Lewis x determinants in the human bronchial mucosa.</t>
  </si>
  <si>
    <t>Lewis x</t>
  </si>
  <si>
    <t>sialyl Lewis x</t>
  </si>
  <si>
    <t>sulfo Lewis x</t>
  </si>
  <si>
    <t>6-sulfo-sialyl Lewis x determinants</t>
  </si>
  <si>
    <t>G</t>
  </si>
  <si>
    <t>II3 (NeuAc)3LacCer</t>
  </si>
  <si>
    <t>NeuAc alpha 2-8NeuAc alpha 2-8NeuAc alpha 2-3Gal beta 1-4Glc beta 1-1ceramide</t>
  </si>
  <si>
    <t>and B determinants</t>
  </si>
  <si>
    <t>lacto type 1 or 2 chain</t>
  </si>
  <si>
    <t>p-trifluoroacetamidophenylethyl O-beta-D-galactopyranosyl-(1----4)-O-[alpha-L-fucopyranosyl-(1----3)]-O- (2- acetamido-2-deoxy-beta-D-glucopyranosyl)-(1----3)-O-beta-D-galactopyrano syl- (1----4)-O-[alpha-L-fucopyranosyl-(1----3)]-2-acetamido-2-deoxy-beta-D- glucopyranoside</t>
  </si>
  <si>
    <t>i- and I-type glycolipids</t>
  </si>
  <si>
    <t>GalNAc alpha 1----3GAINAc beta 1----3Gal alpha 1----3Gal</t>
  </si>
  <si>
    <t>Y hapten</t>
  </si>
  <si>
    <t>i</t>
  </si>
  <si>
    <t>I</t>
  </si>
  <si>
    <t>G8</t>
  </si>
  <si>
    <t>G6</t>
  </si>
  <si>
    <t>IV2FucII3NeuAcGgOse4Cer</t>
  </si>
  <si>
    <t>IV3GalIV2FucII3NeuAcGgOse4Cer</t>
  </si>
  <si>
    <t>II2NeuAcGgOse4Cer</t>
  </si>
  <si>
    <t>GgOse4Cer</t>
  </si>
  <si>
    <t>Gal beta 1, 3GalNAc | T-haptens | T-haptens</t>
  </si>
  <si>
    <t>Gal beta 1,3- (Fuc alpha 1,4)GlcNAc beta-</t>
  </si>
  <si>
    <t>lacNAc | lacdiNAc | sialylated lacNAc | sialylated lacdiNAc</t>
  </si>
  <si>
    <t>6 FNs</t>
  </si>
  <si>
    <t>H type 2 chains</t>
  </si>
  <si>
    <t>H type 1 chains</t>
  </si>
  <si>
    <t>Gal beta 1--&gt;4(SO4-6)GlcNAc</t>
  </si>
  <si>
    <t>[Gal-3H]GD1b monolactone | [Gal-3H]GD1b-1ol | [Gal-3H]GD1b-2ol</t>
  </si>
  <si>
    <t>GM3 | GD3</t>
  </si>
  <si>
    <t>fucosylneolactonorpentaosyl ceramide</t>
  </si>
  <si>
    <t>nLc6</t>
  </si>
  <si>
    <t>dimeric Le(x)</t>
  </si>
  <si>
    <t>9-OAcSA alpha2 --&gt; 6 GalNAc</t>
  </si>
  <si>
    <t>Set_2</t>
  </si>
  <si>
    <t>Total</t>
  </si>
  <si>
    <r>
      <rPr>
        <sz val="12"/>
        <color theme="1"/>
        <rFont val="Aptos Narrow (Body)"/>
      </rPr>
      <t>lactosamine</t>
    </r>
    <r>
      <rPr>
        <sz val="12"/>
        <color theme="1"/>
        <rFont val="Aptos Narrow"/>
        <family val="2"/>
        <scheme val="minor"/>
      </rPr>
      <t>-containing glycolipids</t>
    </r>
  </si>
  <si>
    <t>Rahi</t>
  </si>
  <si>
    <t>Conj_Resolve</t>
  </si>
  <si>
    <t>Paren_Resolve</t>
  </si>
  <si>
    <t>Characterisation by mass spectrometry and 1H-NMR of novel hexasaccharides among the acidic O-linked carbohydrate chains of bovine submaxillary mucin.</t>
  </si>
  <si>
    <t>hexasaccharides</t>
  </si>
  <si>
    <t>O-linked carbohydrate chains</t>
  </si>
  <si>
    <t>The acidic oligosaccharide alditols released from bovine submaxillary-gland mucin by Carlson degradation were investigated by a combination of liquid secondary-ion mass spectrometry, methylation analysis and 1H-NMR.</t>
  </si>
  <si>
    <t>oligosaccharide alditols</t>
  </si>
  <si>
    <t>Among the largest structures identified were four branched hexasaccharides, three of them novel, comprising two separate pairs of structures.</t>
  </si>
  <si>
    <t>branched hexasaccharides</t>
  </si>
  <si>
    <t>One pair contained the sequence Fuc(alpha 1-2)Gal(beta 1-4)[Fuc(alpha 1-3)]GlcNAc(beta 1-) (Fuc, L-fucose), at C3 of N-acetylgalactosaminitol and differed only by substitution at C6 by N-acetylneuraminic or N-glycolylneuraminic acid.</t>
  </si>
  <si>
    <t>Fuc(alpha 1-2)Gal(beta 1-4)[Fuc(alpha 1-3)]GlcNAc(beta 1-) (Fuc, L-fucose)</t>
  </si>
  <si>
    <t>N-glycolylneuraminic acid</t>
  </si>
  <si>
    <t>The other pair also differed in substitution of the sialic acid linked at C6 and contained the GalNAc-(alpha 1-3)[Fuc(alpha 1-2)]Gal(beta 1-4)GlcNAc(beta 1-), sequence at C3 of N-acetylgalactosaminitol.</t>
  </si>
  <si>
    <t>GalNAc-(alpha 1-3)[Fuc(alpha 1-2)]Gal(beta 1-4)GlcNAc(beta 1-)</t>
  </si>
  <si>
    <t>The Lewis(y) and blood-group-A determinants of these sequences have not been found previously in the acidic oligosaccharides of bovine submaxillary-gland mucin, although they have recently been characterised in the neutral chains of bovine submaxillary-gland mucin.</t>
  </si>
  <si>
    <t>Lewis(y)</t>
  </si>
  <si>
    <t>blood-group-A determinants</t>
  </si>
  <si>
    <t>The asparagine-linked oligosaccharides on tissue factor pathway inhibitor terminate with SO4-4GalNAc beta 1, 4GlcNAc beta 1,2 Mana alpha.</t>
  </si>
  <si>
    <t>asparagine-linked oligosaccharides</t>
  </si>
  <si>
    <t>SO4-4GalNAc beta 1, 4GlcNAc beta 1,2 Mana alpha</t>
  </si>
  <si>
    <t>Tissue factor pathway inhibitor (TFPI) produced by endothelial cells contains sulfated Asn-linked oligosaccharides.</t>
  </si>
  <si>
    <t>sulfated Asn-linked oligosaccharides</t>
  </si>
  <si>
    <t>We have determined that greater than 70% of the oligosaccharides on recombinant TFPI expressed in 293 cells terminate with the sequence SO4-4GalNAc beta 1, 4GlcNAc beta 1, 2Man alpha.</t>
  </si>
  <si>
    <t>Oligosaccharides terminating with this sequence have previously been described on lutropin, thyrotropin, and pro-opiomelanocortin: glycoproteins synthesized in the anterior pituitary.</t>
  </si>
  <si>
    <t>A GalNAc-transferase that recognizes the tripeptide motif Pro-Xaa-Arg/Lys 6-9 residues N-terminal to Asn glycosylation sites accounts for the specific addition of GalNAc to the oligosaccharide acceptor on these glycoproteins, whereas a GalNAc beta 1,4GlcNAc beta 1, 2Man alpha-4-sulfotransferase accounts for the addition of sulfate.</t>
  </si>
  <si>
    <t>The sulfated oligosaccharides present on these hormones are responsible for their rapid clearance from plasma by a receptor in hepatic reticuloendothelial cells.</t>
  </si>
  <si>
    <t>sulfated oligosaccharides</t>
  </si>
  <si>
    <t>GalNAc- and sulfotransferase activities with the same properties as those expressed in the pituitary are detected at high levels in 293 cells and at lower levels in endothelial cells.</t>
  </si>
  <si>
    <t>Chinese hamster ovary (CHO) cells do not contain detectable levels of either transferase and rTFPI expressed in CHO cells does not contain sulfated Asn-linked oligosaccharides.</t>
  </si>
  <si>
    <t>TFPI contains the sequence Pro-Phe-Lys, 9 residues N-terminal to the glycosylation site at position 228; this tripeptide may act as the recognition sequence for the GalNAc-transferase. rTFPI produced by 293 cells, but not that produced by CHO cells, is bound by the receptor on hepatic reticuloendothelial cells suggesting the sulfated structures play a role in the biologic behavior of TFPI.</t>
  </si>
  <si>
    <t>sulfated structures</t>
  </si>
  <si>
    <t>Identification of the O-linked glycosylation site of the human transferrin receptor.</t>
  </si>
  <si>
    <t>The human transferrin receptor is a glycoprotein containing three N-linked and one O-linked glycosylation sites.</t>
  </si>
  <si>
    <t>Tryptic digestion of the receptor, followed by chromatography on BioGel P-2 and reverse-phase HPLC, yields a glycopeptide (amino acids 101-120) containing the O-linked site.</t>
  </si>
  <si>
    <t>Amino acid sequence analysis reveals that the site of O-glycosylation is Thr-104.</t>
  </si>
  <si>
    <t>Mass spectral analysis is consistent with the presence of a Gal-GalNAc core with predominantly two sialic acid residues.</t>
  </si>
  <si>
    <t>Gal-GalNAc core</t>
  </si>
  <si>
    <t>N-glycosylation site mapping of human serotransferrin by serial lectin affinity chromatography, fast atom bombardment-mass spectrometry, and 1H nuclear magnetic resonance spectroscopy.</t>
  </si>
  <si>
    <t>This report describes the N-glycosylation site mapping of human serotransferrin (h-STF).</t>
  </si>
  <si>
    <t>Reduced and S-carboxymethylated h-STF was digested with trypsin or chymotrypsin.</t>
  </si>
  <si>
    <t>Glycopeptides in the proteolytic digests were isolated by serial concanavalin A (Con A), Sambucus nigra agglutinin (SNA), and Phaseolus vulgaris leukoagglutinin (LPHA) affinity chromatography and subjected to preliminary analysis by 1H NMR spectroscopy.</t>
  </si>
  <si>
    <t>The glycopeptide fractions were then individually digested with N-glycanase.</t>
  </si>
  <si>
    <t>One part of the digest of each fraction was analyzed by fast atom bombardment-mass spectrometry (FAB-MS) to identify the peptide sequences of the glycosylation sites.</t>
  </si>
  <si>
    <t>The other part was used to isolate the oligosaccharide by the corresponding lectin affinity chromatography and to characterize the structures of the isolated oligosaccharides by 1H NMR spectroscopy and FAB-MS.</t>
  </si>
  <si>
    <t>The oligosaccharides in the Con A-bound fraction were shown to have bi-alpha(2--&gt;6)-sialyl, diantennary structures.</t>
  </si>
  <si>
    <t>bi-alpha(2--&gt;6)-sialyl, diantennary structures</t>
  </si>
  <si>
    <t>The SNA-bound fraction was shown to contain trisialyl, triantennary structures.</t>
  </si>
  <si>
    <t>trisialyl, triantennary structures</t>
  </si>
  <si>
    <t>Di- and triantennary oligosaccharides were found to occur on each of the two N-glycosylation sites of h-STF (Asn413 and Asn611) in the ratio of approximately 85:15.</t>
  </si>
  <si>
    <t>triantennary oligosaccharides</t>
  </si>
  <si>
    <t>Di-antennary oligosaccharides</t>
  </si>
  <si>
    <t>The SNA-bound glycopeptides were further fractionated by LPHA affinity chromatography.</t>
  </si>
  <si>
    <t>Two different oligosaccharides were characterized, namely, a trisialyl 2,4-triantennary and a trisialyl 2,6-triantennary glycan.</t>
  </si>
  <si>
    <t>trisialyl 2,4-triantennary</t>
  </si>
  <si>
    <t>trisialyl 2,6-triantennary glycan</t>
  </si>
  <si>
    <t>The ratio of 2,4-triantennary vs 2,6-triantennary oligosaccharides attached to glycosylation site Asn413 was found to be approximately 5:1, whereas the two isomeric triantennary oligosaccharides were found to be attached to glycosylation site Asn611 in the ratio approximately 1:1.</t>
  </si>
  <si>
    <t>2,4-triantennary oligosaccharides</t>
  </si>
  <si>
    <t>2,6-triantennary oligosaccharides</t>
  </si>
  <si>
    <t>isomeric triantennary oligosaccharides</t>
  </si>
  <si>
    <t>The asparagine-linked oligosaccharides at individual glycosylation sites in human thyrotrophin.</t>
  </si>
  <si>
    <t>The asparagine-linked carbohydrate structures at each of the three glycosylation sites of human thyrotrophin were investigated by 400 MHz 1H-NMR spectroscopy.</t>
  </si>
  <si>
    <t>asparagine-linked carbohydrate structures</t>
  </si>
  <si>
    <t>Highly purified, biologically active human thyrotrophin (hTSH) was dissociated into its subunits hTSH alpha (glycosylated at Asn 52 and Asn 78) and hTSH beta (glycosylated at Asn 23).</t>
  </si>
  <si>
    <t>The alpha-subunit was further treated with trypsin which gave two glycopeptides that were subsequently separated by reverse-phase HPLC and identified by amino acid sequence analysis.</t>
  </si>
  <si>
    <t>The oligosaccharides were liberated from hTSH alpha glycopeptides and from intact hTSH beta by hydrazinolysis, and were fractionated as alditols by anion-exchange and ion-suppression amine-adsorption HPLC preparatory to structural analysis.</t>
  </si>
  <si>
    <t>The N-glycans present on hTSH were mainly diantennary complex-type structures with a common Man alpha 1-3 branch that terminated with 4-O-sulphated GalNAc.</t>
  </si>
  <si>
    <t>N-glycans</t>
  </si>
  <si>
    <t>diantennary complex-type structures</t>
  </si>
  <si>
    <t>GSD000023</t>
  </si>
  <si>
    <t>Biantennary complex</t>
  </si>
  <si>
    <t>Man alpha 1-3 branch</t>
  </si>
  <si>
    <t>4-O-sulphated GalNAc</t>
  </si>
  <si>
    <t>The Man alpha 1-6 branch displayed structural heterogeneity in the terminal sequence, with chiefly alpha 2-3-sialylated Gal and/or 4-O-sulphated GalNAc.</t>
  </si>
  <si>
    <t>Man alpha 1-6 branch</t>
  </si>
  <si>
    <t>alpha 2-3-sialylated Gal</t>
  </si>
  <si>
    <t>The relative amounts of the two major complete diantennary oligosaccharides and their core fucosylation differed according to glycosylation site; the sulphated/sialylated diantennary oligosaccharide was most abundant at the two sites on the alpha-subunit, whereas the disulphated, core-fucosylated oligosaccharide was more plentiful on the beta-subunit.</t>
  </si>
  <si>
    <t>diantennary oligosaccharides</t>
  </si>
  <si>
    <t>sialylated diantennary oligosaccharide</t>
  </si>
  <si>
    <t>core-fucosylated oligosaccharide</t>
  </si>
  <si>
    <t>sulphated diantennary oligosaccharide</t>
  </si>
  <si>
    <t>disulphated oligosaccharide</t>
  </si>
  <si>
    <t>Some interesting structural features, not previously reported for the N-glycans of hTSH, included 3-O-sulphated galactose (SO4-3Gal) and peripheral fucose (Fuc alpha 1-3GlcNAc) in the Man alpha 1-6 branch of some diantennary structures; the former suggests the presence of a hitherto uncharacterized galactose-3-O-sulphotransferase in thyrotroph cells of the human anterior pituitary gland.</t>
  </si>
  <si>
    <t>3-O-sulphated galactose</t>
  </si>
  <si>
    <t>diantennary structures</t>
  </si>
  <si>
    <t>GSD000022</t>
  </si>
  <si>
    <t>Biantennary</t>
  </si>
  <si>
    <t>Human urokinase contains GalNAc beta (1-4)[Fuc alpha (1-3)]GlcNAc beta (1-2) as a novel terminal element in N-linked carbohydrate chains.</t>
  </si>
  <si>
    <t>N-linked carbohydrate chains</t>
  </si>
  <si>
    <t>GalNAc beta (1-4)[Fuc alpha (1-3)]GlcNAc beta (1-2)</t>
  </si>
  <si>
    <t>Structural analysis of enzymically released N-linked carbohydrate chains of human urokinase (urinary-type plasminogen activator) by 1H NMR spectroscopy and FAB-MS demonstrated that the N-linked oligosaccharides on the only N-glycosylation site contain diantennary structures with the novel GalNAc beta (1-4) [Fuc alpha (1-3)]GlcNAc beta (1-2) element in the upper or the lower branch.</t>
  </si>
  <si>
    <t>GalNAc beta (1-4)</t>
  </si>
  <si>
    <t>Hepatocyte growth factor is linked by O-glycosylated oligosaccharide on the alpha chain.</t>
  </si>
  <si>
    <t>O-glycosylated oligosaccharide</t>
  </si>
  <si>
    <t>The glycosylation site and the structure of O-glycosylated oligosaccharide of recombinant human HGF were investigated.</t>
  </si>
  <si>
    <t>N-acetylgalactosamine (GalNAc) in the alpha chain suggested the presence of O-glycosylated oligosaccharide.</t>
  </si>
  <si>
    <t>Sugar analysis and amino acid sequence analysis of peptide fragments produced by limited degradation revealed that O-glycosylated oligosaccharide linked to Thr445 of the alpha chain.</t>
  </si>
  <si>
    <t>The molecular weight of the oligosaccharide was determined with ion spray mass spectrometry.</t>
  </si>
  <si>
    <t>From these studies, the structure of the O-glycosylated oligosaccharide on the alpha chain of HGF was concluded as [formula: see text].</t>
  </si>
  <si>
    <t>Structures of the asparagine-linked oligosaccharide chains of human von Willebrand factor.</t>
  </si>
  <si>
    <t>asparagine-linked oligosaccharide chains</t>
  </si>
  <si>
    <t>Occurrence of blood group A, B, and H(O) structures.</t>
  </si>
  <si>
    <t>blood group A structures</t>
  </si>
  <si>
    <t>blood group B structures</t>
  </si>
  <si>
    <t>blood group H(O) structures</t>
  </si>
  <si>
    <t>The asparagine-linked oligosaccharide chains of human von Willebrand factor (vWF) purified from pooled plasma were quantitatively liberated from the polypeptide moiety by hydrazinolysis.</t>
  </si>
  <si>
    <t>After N-acetylation, these were fractionated by paper electrophoresis and sequential chromatography on lectin-affinity columns of concanavalin A, Phaseolus vulgaris erythrophytohemagglutinin, Datura stramonium agglutinin, Ricinus communis agglutinin 120, and Ulex europaeus agglutinin I and on a Bio-Gel P-4 column.</t>
  </si>
  <si>
    <t>Their structures were investigated by sequential exoglycosidase digestion in conjunction with methylation analysis.</t>
  </si>
  <si>
    <t>The glycoprotein was shown to be unique in its great diversity of oligosaccharide structures.</t>
  </si>
  <si>
    <t>Another noteworthy finding which had not been reported previously was the occurrence of asparagine-linked oligosaccharide chains with blood group A, B, and H(O) structures.</t>
  </si>
  <si>
    <t>In the present study, this glycoprotein was shown to contain mono- (0.4% of the total oligosaccharides), bi-(78.2%), tri- (12.3%), and tetraantennary (2.3%) complex type oligosaccharides in addition to a series of high mannose type oligosaccharides, Man6-9GlcNAc2 (0.8%).</t>
  </si>
  <si>
    <t>high mannose type oligosaccharides</t>
  </si>
  <si>
    <t>Man6-9GlcNAc2</t>
  </si>
  <si>
    <t>bi-antennary complex type oligosaccharides</t>
  </si>
  <si>
    <t>tri-antennary complex type oligosaccharides</t>
  </si>
  <si>
    <t>tetraantennary complex type oligosaccharides</t>
  </si>
  <si>
    <t>GSD000165</t>
  </si>
  <si>
    <t>Tetraantennary complex-type</t>
  </si>
  <si>
    <t>Biantennary complex type oligosaccharide chains were those with (8.2%) and without (70.0%) a bisecting GlcNAc residue and approximately 13.2%, 2.2%, and 0.4% of these contained blood group H(O), A, and B structures, respectively.</t>
  </si>
  <si>
    <t>Biantennary complex type oligosaccharide chains</t>
  </si>
  <si>
    <t>bisecting GlcNAc</t>
  </si>
  <si>
    <t>GSD000024</t>
  </si>
  <si>
    <t>Bisecting GlcNac</t>
  </si>
  <si>
    <t>The tri- and tetraantennary complex type chains were those with and without N-acetyllactosamine repeats, and about 13.0% of the triantennary chains without the N-acetyllactosamine repeat contained the blood group H(O) structure.</t>
  </si>
  <si>
    <t>tetraantennary complex type chains</t>
  </si>
  <si>
    <t>tri-antennary complex type chains</t>
  </si>
  <si>
    <t>blood group H(O) structure</t>
  </si>
  <si>
    <t>Occurrence of these asparagine-linked oligosaccharides with blood group A and B structures suggest that the repeated use of factor VIII/vWF pooled concentrate for the treatment of hemophiliacs could result in the production of antibodies against vWF with a different blood group from that of the patient, and this development may be pathogenic.</t>
  </si>
  <si>
    <t>Unique structure of glycopeptide from alpha-fetoprotein produced in human hepatoma cell line, as determined by 1H-nuclear magnetic resonance spectroscopy.</t>
  </si>
  <si>
    <t>Determination of alpha-fetoprotein is used in diagnosis of tumors and neural tube defects.</t>
  </si>
  <si>
    <t>A good reliable source of alpha-fetoprotein would be an obvious advantage to the preparation of diagnostic reagents and their standardization.</t>
  </si>
  <si>
    <t>We have recently developed a method for the production of alpha-fetoprotein from a human hepatoma cell line.</t>
  </si>
  <si>
    <t>This method, which is suitable for scaling up, allowed us to produce 40 g of alpha-fetoprotein from culture supernatant liquid through a simple purification procedure.</t>
  </si>
  <si>
    <t>We have previously shown this protein to be identical to alpha-fetoprotein produced from other sources.</t>
  </si>
  <si>
    <t>However, because the presence of different glycoforms has been reported in alpha-fetoprotein preparations, both from human sources and from other species, it was important to establish the type and extent of glycosylation of alpha-fetoprotein prepared by our method.</t>
  </si>
  <si>
    <t>By using 1H-NMR spectroscopy we were able to establish that our product contains a single N-linked biantennary, fully sialylated complex-type oligosaccharide, typical of human hepatomas.</t>
  </si>
  <si>
    <t>N-linked biantennary</t>
  </si>
  <si>
    <t>sialylated complex-type oligosaccharide</t>
  </si>
  <si>
    <t>Site-specific N-glycosylation of human chorionic gonadotrophin--structural analysis of glycopeptides by one- and two-dimensional 1H NMR spectroscopy.</t>
  </si>
  <si>
    <t>Glycopeptides representing individual N-glycosylation sites of the heterodimeric glycoprotein hormone human chorionic gonadotrophin (hCG) were obtained from subunits hCG alpha (N-glycosylated at Asn-52 and Asn-78) and hCG beta (N-glycosylated at Asn-13 and Asn-30) by digestion with trypsin and chymotrypsin, respectively.</t>
  </si>
  <si>
    <t>Following purification by reverse-phase HPLC and identification by amino acid sequencing, the glycopeptides were analysed by one- and two-dimensional 1H NMR spectroscopy.</t>
  </si>
  <si>
    <t>The results are summarized as follows: (i) oligosaccharides attached to Asn-52 of hCG alpha comprised monosialylated 'monoantenary' NeuAc alpha 2-3Gal beta 1-4GlcNAc beta 1-2Man alpha 1-3[Man alpha 1-6]Man beta 1-4GlcNAc beta 1-4GlcNAc (N1-4'), disialylated diantennary NeuAc alpha 2-3Gal beta 1-4GlcNAc beta 1-2Man alpha 1-3[NeuAc alpha 2-3-Gal beta 1-4GlcNAc beta 1-2Man alpha 1-6]Man beta 1-4GlcNAc beta 1-4GlcNAc (N2), and the monosialylated hybrid-type structures NeuAc alpha 2-3Gal beta 1-4GlcNAc beta 1-2Man alpha 1-3[Man alpha 1-3Man alpha 1-6]Man beta 1-4GlcNAc beta 1-4GlcNAc (N1-A) and NeuAc alpha 2-3Gal-beta 1-4GlcNAc beta 1-2Man alpha 1-3[Man alpha 1-3(Man alpha 1-6)Man alpha 1-6]Man beta 1-4GlcNAc beta 1-4GlcNAc (N1-AB) in a ratio approaching 5:2:2:1; (ii) Asn-78 of hCG alpha carried N2 and N1-4' almost exclusively (ratio approximately 3:2); (iii) both N-glycosylation sites of hCG beta contained predominantly component N2, partially (approximately 25%) and completely alpha 1-6-fucosylated at the N-acetylglucosamine linked to Asn-13 and Asn-30, respectively.</t>
  </si>
  <si>
    <t>monosialylated 'monoantenary' NeuAc alpha 2-3Gal beta 1-4GlcNAc beta 1-2Man alpha 1-3[Man alpha 1-6]Man beta 1-4GlcNAc beta 1-4GlcNAc , disialylated diantennary NeuAc alpha 2-3Gal beta 1-4GlcNAc beta 1-2Man alpha 1-3[NeuAc alpha 2-3-Gal beta 1-4GlcNAc beta 1-2Man alpha 1-6]Man beta 1-4GlcNAc beta 1-4GlcNAc (N2), and the monosialylated hybrid-type structures NeuAc alpha 2-3Gal beta 1-4GlcNAc beta 1-2Man alpha 1-3[Man alpha 1-3Man alpha 1-6]Man beta 1-4GlcNAc beta 1-4GlcNAc (N1-A) and NeuAc alpha 2-3Gal-beta 1-4GlcNAc beta 1-2Man alpha 1-3[Man alpha 1-3(Man alpha 1-6)Man alpha 1-6]Man beta 1-4GlcNAc beta 1-4GlcNAc (N1-AB) in a ratio approaching 5:2:2:1; (ii) Asn-78 of hCG alpha carried N2 and N1-4' almost exclusively (ratio approximately 3:2); (iii) both N-glycosylation sites of hCG beta contained predominantly component N2, partially (approximately 25%) and completely alpha 1-6</t>
  </si>
  <si>
    <t>N1-4' , disialylated diantennary NeuAc alpha 2-3Gal beta 1-4GlcNAc beta 1-2Man alpha 1-3[NeuAc alpha 2-3-Gal beta 1-4GlcNAc beta 1-2Man alpha 1-6]Man beta 1-4GlcNAc beta 1-4GlcNAc (N2), and the monosialylated hybrid-type structures NeuAc alpha 2-3Gal beta 1-4GlcNAc beta 1-2Man alpha 1-3[Man alpha 1-3Man alpha 1-6]Man beta 1-4GlcNAc beta 1-4GlcNAc (N1-A) and NeuAc alpha 2-3Gal-beta 1-4GlcNAc beta 1-2Man alpha 1-3[Man alpha 1-3(Man alpha 1-6)Man alpha 1-6]Man beta 1-4GlcNAc beta 1-4GlcNAc (N1-AB) in a ratio approaching 5:2:2:1; (ii) Asn-78 of hCG alpha carried N2 and N1-4' almost exclusively (ratio approximately 3:2); (iii) both N-glycosylation sites of hCG beta contained predominantly component N2, partially (approximately 25%) and completely alpha 1-6</t>
  </si>
  <si>
    <t>The distinct site-specific distribution of the oligosaccharide structures among individual N-glycosylation sites of hCG appears to reflect primarily the influence of the surrounding protein structure on the substrate accessibility of the Golgi processing enzymes alpha-mannosidase II, GlcNAc transferase II and alpha 1,6-fucosyltransferase.</t>
  </si>
  <si>
    <t>Carbohydrate analysis of human von Willebrand factor with horseradish peroxidase-conjugated lectins.</t>
  </si>
  <si>
    <t>Carbohydrate</t>
  </si>
  <si>
    <t>Human von Willebrand factor (vWF) immobilized on a polyvinylidene difluoride membrane was subjected to binding assay with a series of horseradish peroxidase-conjugated lectins.</t>
  </si>
  <si>
    <t>The protein was reactive with concanavalin A, Ricinus communis agglutinin 120, wheat germ agglutinin and Ulex europaeus agglutinin I (UEA-I) but not with peanut agglutinin before sialidase treatment.</t>
  </si>
  <si>
    <t>These reactivities were consistent with the major oligosaccharide structure reported except for UEA-I.</t>
  </si>
  <si>
    <t>oligosaccharide structure</t>
  </si>
  <si>
    <t>The reactivity with UEA-I was greatly decreased after digestion of the protein with either alpha-L-fucosidase or peptide-N-glycosidase F, but no significant decrease was observed after mild alkaline treatment or delipidation. vWF and UEA-I have been independently used as a good marker for human endothelial cells.</t>
  </si>
  <si>
    <t>Our results indicate that vWF itself contains UEA-I reactive sugar chains in its Asn-linked oligosaccharides.</t>
  </si>
  <si>
    <t>Asn-linked oligosaccharides</t>
  </si>
  <si>
    <t>Carbohydrate structure of human pancreatic elastase 1.</t>
  </si>
  <si>
    <t>Carbohydrate structure</t>
  </si>
  <si>
    <t>Human pancreatic elastase 1 (E1) is a glycoprotein containing two potential N-glycosylation sites, one of which carries a carbohydrate moiety [Wendorf, Geyer, Sziegoleit &amp; Linder (1989) FEBS Lett. 249, 275-278].</t>
  </si>
  <si>
    <t>carbohydrate moiety</t>
  </si>
  <si>
    <t>In order to study its glycosylation, glycoprotein isolated from post-mortem pancreas tissue of 75 donors was digested with trypsin.</t>
  </si>
  <si>
    <t>Oligosaccharides were liberated from resulting glycopeptides by treatment with peptide-N4-(N-acetyl-beta-glycosaminyl)-asparagine amidase F, radiolabelled by reduction with KB3H4 and separated by h.p.l.c. and gel filtration.</t>
  </si>
  <si>
    <t>Major oligosaccharide alditol fractions, representing 67.8 mol% of total glycans, were characterized by methylation analysis and sequential degradation with exoglycosidases.</t>
  </si>
  <si>
    <t>oligosaccharide alditol</t>
  </si>
  <si>
    <t>glycans</t>
  </si>
  <si>
    <t>The results revealed that about two-fifths of the partially truncated, mainly biantennary, complex-type glycans found comprised blood group A, B, Lea (or X), difucosyl A or difucosyl B determinants, which could be assigned to lactosamine antennae linked to Man(alpha 1-3)- residues of the sugar chains.</t>
  </si>
  <si>
    <t>lactosamine antennae</t>
  </si>
  <si>
    <t>Man(alpha 1-3)</t>
  </si>
  <si>
    <t>biantennary glycans</t>
  </si>
  <si>
    <t>difucosyl A determinants</t>
  </si>
  <si>
    <t>Oligosaccharide structures present on asparagine-289 of recombinant human plasminogen expressed in a Chinese hamster ovary cell line.</t>
  </si>
  <si>
    <t>Oligosaccharide structures</t>
  </si>
  <si>
    <t>The oligosaccharide structures linked to Asn289 of a recombinant (r) variant (R561S) human plasminogen (HPg) expressed in Chinese hamster ovary (CHO) cells, after transfection of these cells with a plasmid containing the cDNA coding for the variant HPg, have been determined.</t>
  </si>
  <si>
    <t>Employing high-performance anion-exchange liquid chromatography mapping of the oligosaccharide units cleaved from the protein by glycopeptidase F, compared with elution positions of standard oligosaccharides, coupled with monosaccharide compositional determinations and analyses of sequential exoglycosidase digestions and specific lectin binding, we find that considerable microheterogeneity in oligosaccharide structure exists at this sole potential N-linked glycosylation site on HPg.</t>
  </si>
  <si>
    <t>monosaccharide</t>
  </si>
  <si>
    <t>A variety of high-mannose structures, as well as bi-, tri-, and tetraantennary complex-type carbohydrate, has been found, in relative amounts of 1-25% of the total oligosaccharides.</t>
  </si>
  <si>
    <t>high-mannose structures</t>
  </si>
  <si>
    <t>GSD000108</t>
  </si>
  <si>
    <t>High mannose</t>
  </si>
  <si>
    <t>bi-antennary complex-type carbohydrate</t>
  </si>
  <si>
    <t>tetraantennary complex-type carbohydrate</t>
  </si>
  <si>
    <t>The complex-type structures contain variable amounts of sialic acid (Sia), ranging from 0 to 5 mol/mol of oligosaccharide in the different glycan structures.</t>
  </si>
  <si>
    <t>glycan structures</t>
  </si>
  <si>
    <t>Neither hybrid-type molecules, N-acetylglucosamine bisecting oligosaccharides, nor N-acetyllactosaminyl-repeat structures were found to be present in the complex-type carbohydrate pool in observable amounts.</t>
  </si>
  <si>
    <t>hybrid-type</t>
  </si>
  <si>
    <t>N-acetylglucosamine bisecting oligosaccharides</t>
  </si>
  <si>
    <t>Of interest, a significant portion of the Sia exists an outer arm structures in an (alpha 2,6) linkage to the penultimate galactose, a novel finding in CHO cell-directed glycosylation.(ABSTRACT TRUNCATED AT 250 WORDS).</t>
  </si>
  <si>
    <t>Sia</t>
  </si>
  <si>
    <t>Human plasma and recombinant factor VII.</t>
  </si>
  <si>
    <t>Characterization of O-glycosylations at serine residues 52 and 60 and effects of site-directed mutagenesis of serine 52 to alanine.</t>
  </si>
  <si>
    <t>Factor VII is a multidomain, vitamin K-dependent plasma glycoprotein that participates in the extrinsic pathway of blood coagulation.</t>
  </si>
  <si>
    <t>Earlier studies demonstrated a novel disaccharide (Xyl-Glc) or trisaccharide (Xyl2-Glc) O-glycosidically linked to serine 52 in human plasma factor VII (Nishimura, H., Kawabata, S., Kisiel, W., Hase, S., Ikenaka, T., Shimonishi, Y., and Iwanaga, S. (1989) J.</t>
  </si>
  <si>
    <t>Xyl-Glc</t>
  </si>
  <si>
    <t>trisaccharide O-glycosidically linked</t>
  </si>
  <si>
    <t>Xyl2-Glc O-glycosidically linked</t>
  </si>
  <si>
    <t>Chem. 264, 20320-20325).</t>
  </si>
  <si>
    <t>In the present study, human plasma and recombinant factor VII were isolated and subjected to enzymatic fragmentation.</t>
  </si>
  <si>
    <t>Peptides comprising residues 48-62 of the first epidermal growth factor-like domain of each factor VII preparation were isolated for comparative analysis.</t>
  </si>
  <si>
    <t>Using a combined strategy of amino acid sequencing, carbohydrate and amino acid composition analysis, and mass spectrometry, three different glycan structures consisting of either glucose, glucose-xylose, or glucose-(xylose)2 were detected O-glycosidically linked to serine 52 in plasma and recombinant factor VII.</t>
  </si>
  <si>
    <t>glucose</t>
  </si>
  <si>
    <t>glucose-xylose</t>
  </si>
  <si>
    <t>glucose-(xylose)2</t>
  </si>
  <si>
    <t>Approximately equal amounts of the three glycan structures were observed in plasma factor VII, whereas in recombinant factor VII the glucose and the glucose-(xylose)2 structures predominated.</t>
  </si>
  <si>
    <t>glucose-(xylose)2 structures</t>
  </si>
  <si>
    <t>In addition to the O-linked glycan structures observed at serine 52, a single fucose was found to be covalently linked at serine 60 in both human plasma and recombinant factor VII.</t>
  </si>
  <si>
    <t>O-linked glycan structures</t>
  </si>
  <si>
    <t>Carbohydrate and mass spectrometry analyses indicated that the fucosylation of serine 60 was virtually quantitative.</t>
  </si>
  <si>
    <t>Metabolic labeling studies using [14C]fucose confirmed the presence of O-linked fucose at serine 60.</t>
  </si>
  <si>
    <t>O-linked fucose</t>
  </si>
  <si>
    <t>In order to assess whether the carbohydrate moiety at serine 52 contributes to the biological activity of factor VII, we have constructed a site-specific mutant of recombinant factor VII in which serine 52 has been replaced with an alanine residue.</t>
  </si>
  <si>
    <t>Mutant factor VIIa exhibited approximately 60% of the coagulant activity of wild-type factor VIIa in a clotting assay.</t>
  </si>
  <si>
    <t>The amidolytic activity of mutant factor VIIa was indistinguishable from that observed for recombinant wild-type factor VIIa.</t>
  </si>
  <si>
    <t>In addition, the ability of mutant factor VIIa in complex with either purified relipidated tissue factor apoprotein or tissue factor on the surface of a human bladder carcinoma cell line (J82) to activate either factor X or factor IX was virtually identical to that observed for wild-type factor VIIa.</t>
  </si>
  <si>
    <t>These results indicate that the carbohydrate moiety O-glycosidically linked to serine 52 does not appear to be involved either in the interaction of factor VIIa with tissue factor, or the expression of its proteolytic activity toward factor X or factor IX following complex formation with tissue factor.(ABSTRACT TRUNCATED AT 400 WORDS).</t>
  </si>
  <si>
    <t>NMR investigations of the N-linked oligosaccharides at individual glycosylation sites of human lutropin.</t>
  </si>
  <si>
    <t>Human lutropin or luteinizing hormone (hLH) is a heterodimeric glycoprotein, composed of two subunits. hLH alpha (N-glycosylated at Asn52 and Asn78) and hLH beta (N-glycosylated at Asn30).</t>
  </si>
  <si>
    <t>The sugar chains were liberated by hydrazinolysis from intact hLH beta and from glycopeptides obtained after tryptic digestion of hLH alpha, subsequently reduced and fractionated as alditols by anion-exchange and ion-suppression amine-adsorption HPLC and identified mainly by one-dimensional (1D) and two-dimensional (2D) 1H-NMR spectroscopy.</t>
  </si>
  <si>
    <t>The results indicate predominantly diantennary.</t>
  </si>
  <si>
    <t>diantennary</t>
  </si>
  <si>
    <t>N-acetyllactosamine-type structures at all three glycosylation sites.</t>
  </si>
  <si>
    <t>N-acetyllactosamine-type structures</t>
  </si>
  <si>
    <t>The oligosaccharides attached to Asn52 (hLH alpha) and Asn30 (hLH beta) show a remarkably similar pattern, with mainly chain-terminating 4-sulphated 2-deoxy-2-N-acetylamino-D-galactose (GalNAc) and a sulphated/sialylated structure as the major single component.</t>
  </si>
  <si>
    <t>4-sulphated 2-deoxy-2-N-acetylamino-D-galactose</t>
  </si>
  <si>
    <t>sialylated structure</t>
  </si>
  <si>
    <t>sulphated structure</t>
  </si>
  <si>
    <t>However, virtually all N-glycans on the beta subunit bear a fucose residue alpha 1-6-linked to the proximal GlcNAc, whereas those at Asn52 (and Asn78) of the alpha subunit are predominantly non-fucosylated.</t>
  </si>
  <si>
    <t>The oligosaccharides at Asn78 (hLH alpha) are sialylated rather than sulphated and contain the unique sequence NeuAc alpha 2-6 GalNAc beta 1-4GlcNAc beta 1-2 Man alpha 1-3 as part of the majority of mono- and disialylated compounds.</t>
  </si>
  <si>
    <t>NeuAc alpha 2-6 GalNAc beta 1-4GlcNAc beta 1-2 Man alpha 1-3</t>
  </si>
  <si>
    <t>The major single constituent at Asn78 has the following structure: [formula, see text].</t>
  </si>
  <si>
    <t>Carbohydrate microheterogeneity of rat serotransferrin.</t>
  </si>
  <si>
    <t>Determination of glycan primary structures and characterization of a new type of trisialylated diantennary glycan.</t>
  </si>
  <si>
    <t>glycan primary structures</t>
  </si>
  <si>
    <t>trisialylated diantennary glycan</t>
  </si>
  <si>
    <t>GSD000178</t>
  </si>
  <si>
    <t>Trisialylated diantennary</t>
  </si>
  <si>
    <t>A previously established procedure [Regoeczi, E., Chindemi, P.A., Rudolph, J.</t>
  </si>
  <si>
    <t>R., Spik, G. &amp; Montreuil, J. (1987) Biochem.</t>
  </si>
  <si>
    <t>Cell Biol. 65, 948-954] was used to isolate from three DEAE-cellulose chromatographic fractions of diferric rat serotransferrin (rTf) subpopulations having discernible affinities for concanavalin A (ConA).</t>
  </si>
  <si>
    <t>These entities are designated rTf-1 (not retarded by ConA column), rTf-2 (retarded) and rTf-3 (bound).</t>
  </si>
  <si>
    <t>Each rTf type was found to be endowed with carbohydrate sufficient to account for a single diantennary glycan/protein molecule.</t>
  </si>
  <si>
    <t>diantennary glycan</t>
  </si>
  <si>
    <t>Glycan structures were determined on the glycopeptides by employing GLC/MS and 400-MHz 1H-NMR spectroscopy.</t>
  </si>
  <si>
    <t>Glycan structures</t>
  </si>
  <si>
    <t>All glycans possessed a common, trimannosyl-N,N'-diacetylchitobiose core with or without one L-fucose alpha-1,6-linked to the Asn-linked GlcNAc.</t>
  </si>
  <si>
    <t>trimannosyl-N,N'-diacetylchitobiose core</t>
  </si>
  <si>
    <t>L-fucose alpha-1,6-linked to the Asn-linked GlcNAc</t>
  </si>
  <si>
    <t>However, there were differences in the antennae.</t>
  </si>
  <si>
    <t>Thus, in rTf-3, both antennae were of the disialylated diantennary N-acetyllactosamine type which is frequently encountered in other plasma glycoproteins.</t>
  </si>
  <si>
    <t>disialylated diantennary N-acetyllactosamine type</t>
  </si>
  <si>
    <t>However, the alpha-1,3-Man-linked antenna in rTf-1 as well as rTf-2 had the sequence: Neu5Ac(alpha 2-3)Gal(beta 1-3)[Neu5Ac(alpha 2-6)]GlcNAc(beta 1-2)Man.</t>
  </si>
  <si>
    <t>alpha-1,3-Man-linked antenna</t>
  </si>
  <si>
    <t>Neu5Ac(alpha 2-3)Gal(beta 1-3)[Neu5Ac(alpha 2-6)]GlcNAc(beta 1-2)Man</t>
  </si>
  <si>
    <t>In addition, the alpha-1,6-Man-linked antenna deviated in rTf-2 from the standard structure by having the sequence: Neu5Ac(alpha 2-3)Gal(beta 1-3)GlcNAc(beta 1-2)Man.</t>
  </si>
  <si>
    <t>alpha-1,6-Man-linked antenna</t>
  </si>
  <si>
    <t>Neu5Ac(alpha 2-3)Gal(beta 1-3)GlcNAc(beta 1-2)Man</t>
  </si>
  <si>
    <t>The possible relevance of the above structures to the ConA binding of rTf is discussed.</t>
  </si>
  <si>
    <t>A further preparation, obtained from the most anionic DEAE-cellulose fraction (peak V) or rTf contained several tetrasialylated diantennary glycans whose precise structures remain to be established in future studies.</t>
  </si>
  <si>
    <t>tetrasialylated diantennary glycans</t>
  </si>
  <si>
    <t>GSD000166</t>
  </si>
  <si>
    <t>Tetrasialylated diantennary</t>
  </si>
  <si>
    <t>Primary structure of O-linked carbohydrate chains in the cellulosome of different Clostridium thermocellum strains.</t>
  </si>
  <si>
    <t>The cell-free forms of the multiple cellulase-containing protein complex (cellulosome), isolated from the cellulolytic bacterium Clostridium thermocellum strains YS, ATCC 27405 and LQRI, have a total carbohydrate content of 5-7% (by mass), consisting of O-linked oligosaccharide chains.</t>
  </si>
  <si>
    <t>O-linked oligosaccharide chains</t>
  </si>
  <si>
    <t>The carbohydrate chains were liberated by alkaline-borohydride treatment and fractionated as oligosaccharide alditols via gel-permeation chromatography and HPLC.</t>
  </si>
  <si>
    <t>The fractions were investigated by 500-MHz 1H-NMR spectroscopy in combination with monosaccharide and methylation analysis and with fast-atom-bombardment mass spectrometry (FAB-MS).</t>
  </si>
  <si>
    <t>In addition to the previously described major oligosaccharide, (formula; see text) [Gerwig, G.</t>
  </si>
  <si>
    <t>J., de Waard, P., Kamerling, J.</t>
  </si>
  <si>
    <t>P., Vliegenthart, J.</t>
  </si>
  <si>
    <t>F.</t>
  </si>
  <si>
    <t>G., Morgenstern, E., Lamed, R. &amp; Bayer, E.</t>
  </si>
  <si>
    <t>A. (1989) J.</t>
  </si>
  <si>
    <t>Chem. 264, 1027-1035], the following partial structures of this compound could be established: (formula; see text).</t>
  </si>
  <si>
    <t>Cell-free and cell-associated forms of the cellulosome of C. thermocellum, as determined for strain YS, have the same oligosaccharide pattern.</t>
  </si>
  <si>
    <t>Based on the oligosaccharide structures, a biosynthetic pathway is suggested.</t>
  </si>
  <si>
    <t>Structure determination of the glycans of human-serum alpha 1-antichymotrypsin using 1H-NMR spectroscopy and deglycosylation by N-glycanase. alpha 1-Antichymotrypsin purified from normal human serum was separated by affinity chromatography into th ree microheterogeneous forms on a concanavalin-A-Sepharose column: a pass-through (peak 1), a retarded (peak 2) and a bound form (peaks 3 + 4).</t>
  </si>
  <si>
    <t>For each form the asparagine-linked carbohydrate chains were liberated as oligosaccharides by hydrazinolysis, submitted to reduction with NaBH4 after re-N-acetylation and further separated by affinity chromatography on a concanavalin-A-Sepharose column.</t>
  </si>
  <si>
    <t>asparagine-linked carbohydrate chains</t>
  </si>
  <si>
    <t>The complete primary structure of the glycans was determined by high-resolution 1H-NMR spectroscopy.</t>
  </si>
  <si>
    <t>The results indicated the presence of disialyl diantennary and of trisialyl triantennary type glycanic structures, the latter being accompanied by traces of disialylated triantennary oligosaccharide.</t>
  </si>
  <si>
    <t>disialyl diantennary</t>
  </si>
  <si>
    <t>GSD000025; GSD000065; GSD000124; GSD000154</t>
  </si>
  <si>
    <t>Bisialo-biantennary; Disialylated biantennary; Monosialyl-biantennary; Sialylated biantennary</t>
  </si>
  <si>
    <t>trisialyl triantennary type glycanic structures</t>
  </si>
  <si>
    <t>disialylated triantennary oligosaccharide</t>
  </si>
  <si>
    <t>The N-glycanase was used for the deglycosylation of the unfractionated alpha 1-antichymotrypsin; the successive removal of the N-linked complex-type oligosaccharide side chains of alpha 1-antichymotrypsin was studied in the presence of detergents.</t>
  </si>
  <si>
    <t>alpha 1-antichymotrypsin</t>
  </si>
  <si>
    <t>N-linked complex-type oligosaccharide side chains</t>
  </si>
  <si>
    <t>From these experiments it is concluded that alpha 1-antichymotrypsin carries four oligosaccharide side chains.</t>
  </si>
  <si>
    <t>oligosaccharide side chains</t>
  </si>
  <si>
    <t>Moreover our results show that the peak 1 contains four triantennary glycans, the peak 2 three triantennary and one diantennary glycans while the bound peaks 3 + 4 possess, on average, about one triantennary and three diantennary glycans per molecule.</t>
  </si>
  <si>
    <t>triantennary glycans</t>
  </si>
  <si>
    <t>GSD000168</t>
  </si>
  <si>
    <t>Triantennary</t>
  </si>
  <si>
    <t>triantennary</t>
  </si>
  <si>
    <t>diantennary glycans</t>
  </si>
  <si>
    <t>Since we showed that the peak 4 contains mostly diantennary glycans, it can be deduced that in peak 3 there are molecules carrying two triantennary and two diantennary glycans and others carrying one triantennary and three diantennary glycans.</t>
  </si>
  <si>
    <t>Characterization of a posttranslational fucosylation in the growth factor domain of urinary plasminogen activator.</t>
  </si>
  <si>
    <t>A posttranslational modification site in natural and recombinant urinary-type plasminogen activators (urokinases; EC 3.4.21.31) has been localized to Thr-18, in the growth factor domain of the molecule.</t>
  </si>
  <si>
    <t>This is the region of urinary plasminogen activator responsible for its specific receptor binding.</t>
  </si>
  <si>
    <t>An unusual carbohydrate-protein linkage, a single monosaccharide, fucose, covalently attached directly to threonine in the peptide, is described here.</t>
  </si>
  <si>
    <t>carbohydrate-protein linkage</t>
  </si>
  <si>
    <t>The glycan moiety and the site of modification have been identified with mass spectrometry and confirmed by carbohydrate composition analysis, Edman degradation, and one- and two-dimensional NMR studies.</t>
  </si>
  <si>
    <t>glycan moiety</t>
  </si>
  <si>
    <t>This type of modification is normally not detected without mass spectrometry because the fucose-threonine bond is hydrolyzed under standard acidic conditions of the amino acid analysis and Edman sequencing.</t>
  </si>
  <si>
    <t>This modification may be widely found in other proteins.</t>
  </si>
  <si>
    <t>Altered O-glycan synthesis in lymphocytes from patients with Wiskott-Aldrich syndrome.</t>
  </si>
  <si>
    <t>The only molecular defect reported for the X-linked immunodeficiency Wiskott-Aldrich syndrome (WAS) is the abnormal electrophoretic behavior of the major T lymphocyte sialoglycoprotein CD43.</t>
  </si>
  <si>
    <t>Since the 70 to 80 O-linked carbohydrate chains of CD43 are known to influence markedly its electrophoretic mobility, we analyzed the structure and the biosynthesis of O-glycans of CD43 in lymphocytes from patients with WAS.</t>
  </si>
  <si>
    <t>O-glycans</t>
  </si>
  <si>
    <t>Immunofluorescence analysis with the carbohydrate dependent anti-CD43 antibody T305 revealed that in 10 out of the 12 WAS patients tested increased numbers of T lymphocytes carry on CD43 an epitope which on normal lymphocytes is expressed only after activation.</t>
  </si>
  <si>
    <t>Other activation antigens were absent from WAS lymphocytes.</t>
  </si>
  <si>
    <t>Western blots of WAS cell lysates displayed a high molecular mass form of CD43 which reacted with the T305 antibody and which could be found on in vivo activated lymphocytes but was absent from normal unstimulated lymphocytes.</t>
  </si>
  <si>
    <t>To examine the O-glycan structures, carbohydrate labeled CD43 was immunoprecipitated and the released oligosaccharides identified.</t>
  </si>
  <si>
    <t>WAS lymphocyte CD43 was found to carry predominantly the branched structure NeuNAc alpha 2----3Gal beta 1----3 (NeuNAc alpha 2----3Gal beta 1----4G1cNAc beta 1----6) GalNAcOH whereas normal lymphocytes carry the structure NeuNAc alpha 2----3Gal beta 1----3 (NeuNAc alpha 2----6) GalNAcOH.</t>
  </si>
  <si>
    <t>branched structure</t>
  </si>
  <si>
    <t>NeuNAc alpha 2----3Gal beta 1----3 GalNAcOH</t>
  </si>
  <si>
    <t>NeuNAc alpha 2----3Gal beta 1----4G1cNAc beta 1----6 GalNAcOH</t>
  </si>
  <si>
    <t>NeuNAc alpha 2----6 GalNAcOH</t>
  </si>
  <si>
    <t>Only after activation NeuNAc alpha 2----3Gal beta 1----3 (NeuNAc alpha 2----3Gal beta 1----4GlcNAc beta 1----6) GalNAcOH becomes the principal oligosaccharide on CD43 from normal lymphocytes.</t>
  </si>
  <si>
    <t>GalNAcOH</t>
  </si>
  <si>
    <t>Analyzing the six glycosyltransferases involved in the biosynthesis of these O-glycan structures it was found that in WAS lymphocytes high levels of beta 1----6 N-acetyl-glucosaminyl transferase are responsible for the expression of NeuNAc alpha 2----3Gal beta 1----3 (NeuNAc alpha 2----3Gal beta 1----4GlcNAc beta 1----6) GalNAcOH on CD43.</t>
  </si>
  <si>
    <t>NeuNAc alpha 2----3Gal beta 1----3</t>
  </si>
  <si>
    <t>alpha 2----3Gal beta 1----3 GalNAcOH</t>
  </si>
  <si>
    <t>NeuNAc alpha 2----3Gal beta 1----4GlcNAc beta 1----6 GalNAcOH</t>
  </si>
  <si>
    <t>The gene responsible for WAS has not yet been identified but the results presented in this study suggest that the primary defect in WAS may affect a gene which is involved in the regulation of O-glycosylation.</t>
  </si>
  <si>
    <t>The conformational effects of N-glycosylation on the tailpiece from serum IgM. 1H-NMR spectroscopy has been used to study the conformation and dynamics of the isolated tailpiece from human serum immunoglobulin M, a 22-residue peptide containing a single asparagine glycosylation site.</t>
  </si>
  <si>
    <t>The peptide is isolated as a set of glycoforms, varying only in the sequence of the oligosaccharide attached at the glycosylation site.</t>
  </si>
  <si>
    <t>The oligosaccharides present have the general formula (Man)n(GlcNAc)2, with 45% having n = 6, 45% having n = 8 and 10% having n = 7 and/or 9.</t>
  </si>
  <si>
    <t>They have been identified and their NMR parameters compared to those found for the isolated oligosaccharides in free solution.</t>
  </si>
  <si>
    <t>The conformation and dynamics of the peptide component have also been studied, using NOE data and hydrogen-exchange experiments, and the results compared to those obtained from the aglycosyl peptide of the same sequence.</t>
  </si>
  <si>
    <t>The presence of the peptide is found to have no measurable effect on the conformation of the oligosaccharides.</t>
  </si>
  <si>
    <t>However, the presence of oligosaccharide causes a decrease in the conformational mobility of the backbone and sidechains of the peptide in the region of the glycosylation site.</t>
  </si>
  <si>
    <t>This is proposed to result from interactions between the oligosaccharide core and the amino acid side chains.</t>
  </si>
  <si>
    <t>oligosaccharide core</t>
  </si>
  <si>
    <t>Further, the conformation of the N-glycosidic linkage has been shown to be both rigid and planar.</t>
  </si>
  <si>
    <t>Thus, the conformational space available to an N-linked oligosaccharide in a glycoprotein relative to the protein may depend to a large extent upon the flexibility of the asparagine side chain.</t>
  </si>
  <si>
    <t>N-linked oligosaccharide</t>
  </si>
  <si>
    <t>Various roles for the different glycoforms of the tail peptide are discussed.</t>
  </si>
  <si>
    <t>Isolation and structural characterization of novel neutral oligosaccharide-alditols from respiratory-mucus glycoproteins of a patient suffering from bronchiectasis. 1.</t>
  </si>
  <si>
    <t>oligosaccharide-alditols</t>
  </si>
  <si>
    <t>Structure of 11 oligosaccharides having the GlcNAc beta(1----3)Gal beta(1----4)GlcNAc beta(1----6)GalNAc-o1 structural element in common.</t>
  </si>
  <si>
    <t>GlcNAc beta(1----3)Gal beta(1----4)GlcNAc beta(1----6)GalNAc-o1</t>
  </si>
  <si>
    <t>Isolation and structural characterization of novel neutral oligosaccharide-alditols from respiratory-mucus glycoproteins of a patient suffering from bronchiectasis. 2.</t>
  </si>
  <si>
    <t>Structure of twelve hepta-to-nonasaccharides, six of which possess the GlcNAc beta(1----3)[Gal beta(1----4)GlcNAc beta(1----6)]Gal beta(1----3)GalNAc-ol common structural element.</t>
  </si>
  <si>
    <t>hepta-to-nonasaccharides</t>
  </si>
  <si>
    <t>GlcNAc beta(1----3)[Gal beta(1----4)GlcNAc beta(1----6)]Gal beta(1----3)GalNAc-ol</t>
  </si>
  <si>
    <t>Natural human interferon-alpha 2 is O-glycosylated.</t>
  </si>
  <si>
    <t>Natural human interferon alpha 2 (IFN-alpha 2) was isolated from a preparation of partially purified human leucocyte IFN by monoclonal-antibody immunoaffinity chromatography.</t>
  </si>
  <si>
    <t>alpha 2</t>
  </si>
  <si>
    <t>The purified protein had a specific activity of 1.5 x 10(8) i.u./mg; it was estimated to constitute 10-20% of the total antiviral activity of leucocyte IFN.</t>
  </si>
  <si>
    <t>N-Terminal amino-acid-sequence analysis identified the subspecies IFN-alpha 2b and/or IFN-alpha 2c, whereas IFN-alpha 2a was not detectable.</t>
  </si>
  <si>
    <t>The structure of natural IFN-alpha 2 was found to differ from that of its recombinant (Escherichia coli-derived) equivalent.</t>
  </si>
  <si>
    <t>First, reverse-phase h.p.l.c. showed that natural IFN-alpha 2 was significantly more hydrophilic then expected.</t>
  </si>
  <si>
    <t>Secondly, the apparent molecular mass of the natural protein determined by SDS/PAGE was higher than that of recombinant IFN-alpha 2; incubation under mild alkaline conditions known to eliminate O-linked carbohydrates resulted in a reduction of the apparent molecular mass to that of the recombinant protein.</t>
  </si>
  <si>
    <t>O-linked carbohydrates</t>
  </si>
  <si>
    <t>On sequence analysis of proteolytic peptides, Thr-106 was found to be modified.</t>
  </si>
  <si>
    <t>These results suggested that Thr-106 of natural IFN-alpha 2 carries O-linked carbohydrates.</t>
  </si>
  <si>
    <t>Reverse-phase h.p.l.c. as well as SDS/PAGE of natural IFN-alpha 2 showed that glycosylation is heterogeneous.</t>
  </si>
  <si>
    <t>For characterization of the carbohydrate moieties, the protein was treated with neuraminidase and/or O-glycanase and analysed by gel electrophoresis; in addition, glycopeptides obtained by proteinase digestion and separated by h.p.l.c. were characterized by sequence analysis and m.s.</t>
  </si>
  <si>
    <t>carbohydrate moieties</t>
  </si>
  <si>
    <t>Further information on the composition of the glycans was obtained by monosaccharide analysis.</t>
  </si>
  <si>
    <t>The results indicate that natural IFN-alpha 2 contains the disaccharide galactosyl-N-acetylgalactosamine (Gal-GalNAc) linked to Thr-106.</t>
  </si>
  <si>
    <t>In part of the molecules, this core carbohydrate carries (alpha-)N-acetylneuraminic acid, whereas a disaccharide, probably N-acetyl-lactosamine, is bound to Gal-GalNAc in another proportion of the protein.</t>
  </si>
  <si>
    <t>core carbohydrate</t>
  </si>
  <si>
    <t>N-acetyl-lactosamine</t>
  </si>
  <si>
    <t>Gal-GalNAc</t>
  </si>
  <si>
    <t>Further glycosylation isomers are present in small amounts.</t>
  </si>
  <si>
    <t>As IFN-alpha 2 is the only IFN-alpha species with a threonine residue at position 106, it may represent the only O-glycosylated human IFN-alpha protein.</t>
  </si>
  <si>
    <t>Asparagine-linked oligosaccharide processing in lepidopteran insect cells.</t>
  </si>
  <si>
    <t>Asparagine-linked oligosaccharide</t>
  </si>
  <si>
    <t>Temporal dependence of the nature of the oligosaccharides assembled on asparagine-289 of recombinant human plasminogen produced in baculovirus vector infected Spodoptera frugiperda (IPLB-SF-21AE) cells.</t>
  </si>
  <si>
    <t>Previous studies from this laboratory have established that lepidopteran insect cells possess the glycosylation machinery needed to assemble N-linked complex-type oligosaccharides on Asn289 of recombinant human plasminogen (r-HPg).</t>
  </si>
  <si>
    <t>N-linked complex-type oligosaccharides</t>
  </si>
  <si>
    <t>In the present paper, we show that the nature of N289-linked glycosylation of [R561E]r-HPg expressed in Spodoptera frugiperda (IPLB-SF-21AE) cells is dependent upon the length of time of infection of the cells with the recombinant baculovirus/HPg-cDNA construct.</t>
  </si>
  <si>
    <t>At the earliest postinfection (p.i.) time period studied, i.e., 0-20 h, virtually all (96%) of the oligosaccharides released with glycopeptidase F from N289 of the expressed r-HPg were of the high-mannose type and comprised nearly the full range of such structures, containing 3-9 mannose units.</t>
  </si>
  <si>
    <t>high-mannose type</t>
  </si>
  <si>
    <t>At a time window of 60-96 h, p.i., essentially all of the oligosaccharides (92% of the total) assembled on N289 of rHPg were of the biantennary, triantennary, and tetraantennary complex classes, with varying extents of outer arm completion.</t>
  </si>
  <si>
    <t>tetraantennary complex</t>
  </si>
  <si>
    <t>biantennary complex</t>
  </si>
  <si>
    <t>triantennary complex</t>
  </si>
  <si>
    <t>At an intermediate time period window, of 20-60 h, p.i., a mixture of complex-type oligosaccharides, totaling approximately 77% of the glycans, with various levels of branching and outer arm completion, and high-mannose type of oligosaccharides, totaling approximately 23% of the glycans, was assembled on N289 of the r-HPg produced.</t>
  </si>
  <si>
    <t>complex-type oligosaccharides</t>
  </si>
  <si>
    <t>These studies demonstrate that lepidopteran insect cells contain the glycosyltransferase genes required for assembly of N-linked complex oligosaccharide and that these transferases are utilized under proper conditions.</t>
  </si>
  <si>
    <t>The time dependency of the assembly of complex-type oligosaccharides on r-HPg indicates that an activation of the appropriate glycosyl transferases and/or transferase genes can take place.</t>
  </si>
  <si>
    <t>Thus, one consequence of the infective process with the recombinant baculovirus/HPg-cDNA construct is to alter the normal glycosylation characteristics of insect cells and to allow complex-type oligosaccharide processing to occur.</t>
  </si>
  <si>
    <t>complex-type oligosaccharide</t>
  </si>
  <si>
    <t>GSD000018</t>
  </si>
  <si>
    <t>Asialo-biantennary</t>
  </si>
  <si>
    <t>GSD000073; GSD000074</t>
  </si>
  <si>
    <t>Fucosylated biantennary; Fucosylated bisialo-biantennary</t>
  </si>
  <si>
    <t>Structural characterization of the N-linked oligosaccharides in bile salt-stimulated lipase originated from human breast milk.</t>
  </si>
  <si>
    <t>The detailed structures of N- glycans derived from bile salt-stimulated lipase (BSSL) found in human milk were determined by combining exoglycosidase digestion with matrix-assisted laser desorption/ionization time-of-flight mass spectrometry.</t>
  </si>
  <si>
    <t>N- glycans</t>
  </si>
  <si>
    <t>The N- glycan structures were conclusively determined in terms of complexity and degree of fucosylation.</t>
  </si>
  <si>
    <t>N- glycan structures</t>
  </si>
  <si>
    <t>Ion-exchange chromatography with pulsed amperometric detection, together with mass-spectral analysis of the esterified N- glycans, indicated the presence of monosialylated structures.</t>
  </si>
  <si>
    <t>monosialylated structures</t>
  </si>
  <si>
    <t>GSD000123</t>
  </si>
  <si>
    <t>Monosialylated</t>
  </si>
  <si>
    <t>The molecular mass profile of esterified N- glycans present in BSSL further permitted the more detailed studies through collision-induced dissociation (CID) and sequential exoglycosidase cleavages.</t>
  </si>
  <si>
    <t>The N- glycan structures were elucidated to be complex/dibranched, fucosylated/complex/dibranched, monosialylated/complex/dibranched, and monosialylated/fucosylated/dibranched entities.</t>
  </si>
  <si>
    <t>complex/dibranched</t>
  </si>
  <si>
    <t>fucosylated/complex/dibranched</t>
  </si>
  <si>
    <t>monosialylated/complex/dibranched</t>
  </si>
  <si>
    <t>monosialylated/fucosylated/dibranched</t>
  </si>
  <si>
    <t>X-ray crystallography and mass spectroscopy reveal that the N-lobe of human transferrin expressed in Pichia pastoris is folded correctly but is glycosylated on serine-32.</t>
  </si>
  <si>
    <t>The ferric form of the N-lobe of human serum transferrin (Fe(III)-hTF/2N) has been expressed at high levels in Pichia pastoris.</t>
  </si>
  <si>
    <t>The Fe(III)-hTF/2N was crystallized in the space group P41212, and X-ray crystallography was used to solve the structure of the recombinant protein at 2.5 A resolution.</t>
  </si>
  <si>
    <t>This represents only the second P. pastoris-derived protein structure determined to date, and allows the comparison of the structures of recombinant Fe(III)-hTF/2N expressed in P. pastoris and mammalian cells with serum-derived transferrin.</t>
  </si>
  <si>
    <t>The polypeptide folding pattern is essentially identical in all of the three proteins.</t>
  </si>
  <si>
    <t>Mass spectroscopic analyses of P. pastoris- hTF/2N and proteolytically derived fragments revealed glycosylation of Ser-32 with a single hexose.</t>
  </si>
  <si>
    <t>hexose</t>
  </si>
  <si>
    <t>This represents the first localization of an O-linked glycan in a P. pastoris-derived protein.</t>
  </si>
  <si>
    <t>O-linked glycan</t>
  </si>
  <si>
    <t>Because of its distance from the iron-binding site, glycosylation of Ser-32 should not affect the iron-binding properties of hTF/2N expressed in P. pastoris, making this an excellent expression system for the production of hTF/2N.</t>
  </si>
  <si>
    <t>N-glycan structures of matrix metalloproteinase-1 derived from human fibroblasts and from HT-1080 fibrosarcoma cells.</t>
  </si>
  <si>
    <t>N-glycan structures</t>
  </si>
  <si>
    <t>Matrix metalloproteinase-1 (MMP-1) is a collagenolytic metalloproteinase capable of cleaving native triple-helical forms of several collagen subtypes, as well as a number of non-collagenous substrates.</t>
  </si>
  <si>
    <t>The role of MMP-1 in various diseases affecting the connective tissue is well characterized.</t>
  </si>
  <si>
    <t>No function for the glycan moiety of the enzyme has been ascribed to date.</t>
  </si>
  <si>
    <t>In the present study, we report on the detailed characterization of MMP-1-derived oligosaccharides.</t>
  </si>
  <si>
    <t>Using strategies based on sequential exoglycosidase digestion combined with matrix-assisted laser desorption ionization-time of flight MS and electrospray tandem MS, we have characterized the N-glycan structures of MMP-1, derived from human dermal fibroblasts and from the HT-1080 fibrosarcoma cell line.</t>
  </si>
  <si>
    <t>MMP-1 derived from fibroblasts was found to carry mainly alpha 2,3-sialylated complex-type diantennary glycans.</t>
  </si>
  <si>
    <t>alpha 2,3-sialylated complex-type diantennary glycans</t>
  </si>
  <si>
    <t>On the other hand, HT-1080 cells produce MMP-1 that has a heterogeneous glycosylation pattern, comprising diantennary glycans carrying Lewis X, LacdiNAc, sialylated LacdiNAc and GalNAc beta 1,4 (Fuc alpha 1,3)GlcNAc (LacdiNAc analogue of Lewis X) as terminal elements.</t>
  </si>
  <si>
    <t>Lewis X</t>
  </si>
  <si>
    <t>LacdiNAc</t>
  </si>
  <si>
    <t>GSD000115</t>
  </si>
  <si>
    <t>LacdiNac</t>
  </si>
  <si>
    <t>sialylated LacdiNAc</t>
  </si>
  <si>
    <t>GSD000192</t>
  </si>
  <si>
    <t>Sialylated LacdiNAc</t>
  </si>
  <si>
    <t>GalNAc beta 1,4 (Fuc alpha 1,3)GlcNAc</t>
  </si>
  <si>
    <t>We also show that, of the two potential glycosylation sites in the MMP-1 sequence, only Asn120 is used.</t>
  </si>
  <si>
    <t>Site-specific characterization of the N-linked glycans of murine prion protein by high-performance liquid chromatography/electrospray mass spectrometry and exoglycosidase digestions.</t>
  </si>
  <si>
    <t>N-linked glycans</t>
  </si>
  <si>
    <t>GSD000131</t>
  </si>
  <si>
    <t>The murine prion protein PrP gene encodes a protein of 254 amino acids with two consensus sites for Asn-linked glycosylation at codons 180 and 196.</t>
  </si>
  <si>
    <t>A partial site-specific study of the N-linked glycans from hamster PrP has previously been carried out by mass spectrometry [Stahl, N., Baldwin, M.</t>
  </si>
  <si>
    <t>A., Teplow, D.</t>
  </si>
  <si>
    <t>B., Hood, L., Gibson, B.</t>
  </si>
  <si>
    <t>W., Burlingame, A.</t>
  </si>
  <si>
    <t>L., and Prusiner, S.</t>
  </si>
  <si>
    <t>B. (1993) Biochemistry 32, 1991-2002] and revealed that the glycosylation at Asn-181 (equivalent to mouse 180) is heterogeneous, comprising over 30 glycoforms.</t>
  </si>
  <si>
    <t>The identification of the glycosylated peptide spanning Asn-197 was not reported.</t>
  </si>
  <si>
    <t>Recent technical advances in electrospray mass spectrometry now provide the sensitivity to detect low femtomole quantities of glycopeptides with &gt;5000 mass resolution and 30 ppm mass measurement [Medzihradszky, K.</t>
  </si>
  <si>
    <t>F., Besman, M.</t>
  </si>
  <si>
    <t>J., and Burlingame, A.</t>
  </si>
  <si>
    <t>L. (1998) Rapid Commun.</t>
  </si>
  <si>
    <t>Mass Spectrom. 12, 472-478].</t>
  </si>
  <si>
    <t>This performance coupled with stepwise exoglycosidase digestion has been employed to establish the differential nature of the structural complexity (glycoforms) of the glycans at Asn-180 and Asn-196 from a single strain infected with the ME7 strain.</t>
  </si>
  <si>
    <t>Some sixty structures have been found characterized by neutral and sialylated bi-, tri-, and tetraantennary complex-type bearing outer-arm alpha(1-3)-fucosylation (the Lewisx and sialyl-Lewisx epitopes), core alpha(1,6) fucosylation, and the presence of terminal HexNAc residues.</t>
  </si>
  <si>
    <t>sialylated bi-antennary complex-type</t>
  </si>
  <si>
    <t>sialylated tri-antennary complex-type</t>
  </si>
  <si>
    <t>sialylated tetraantennary complex-type</t>
  </si>
  <si>
    <t>sialyl-Lewisx epitopes</t>
  </si>
  <si>
    <t>GSD000151</t>
  </si>
  <si>
    <t>Sialyl Lewis x</t>
  </si>
  <si>
    <t>terminal HexNAc</t>
  </si>
  <si>
    <t>The Lewisx trisaccharide is the major nonreducing structure at Asn-180, and significant amounts of both Lewisx and sialyl Lewisx epitopes are observed at Asn-196.</t>
  </si>
  <si>
    <t>Lewisx trisaccharide</t>
  </si>
  <si>
    <t>GSD000121</t>
  </si>
  <si>
    <t>sialyl Lewisx epitopes</t>
  </si>
  <si>
    <t>The abundance of the Lewisx and sialyl Lewisx epitopes on murine PrPSc may indicate a role for these structures in the normal function of PrPC or the pathophysiology of PrPSc.</t>
  </si>
  <si>
    <t>C-mannosylation and O-fucosylation of the thrombospondin type 1 module.</t>
  </si>
  <si>
    <t>Thrombospondin-1 (TSP-1) is a multidomain protein that has been implicated in cell adhesion, motility, and growth.</t>
  </si>
  <si>
    <t>Some of these functions have been localized to the three thrombospondin type 1 repeats (TSRs), modules of approximately 60 amino acids in length with conserved Cys and Trp residues.</t>
  </si>
  <si>
    <t>The Trp residues occur in WXXW patterns, which are the recognition motifs for protein C-mannosylation.</t>
  </si>
  <si>
    <t>This modification involves the attachment of an alpha-mannosyl residue to the C-2 atom of the first tryptophan.</t>
  </si>
  <si>
    <t>Analysis of human platelet TSP-1 revealed that Trp-368, -420, -423, and -480 are C-mannosylated.</t>
  </si>
  <si>
    <t>Mannosylation also occurred in recombinant, baculovirally expressed TSR modules from Sf9 and "High Five" cells, contradictory to earlier reports that such cells do not carry out this reaction.</t>
  </si>
  <si>
    <t>In the course of these studies it was appreciated that the TSRs in TSP-1 undergo a second form of unusual glycosylation.</t>
  </si>
  <si>
    <t>By using a novel mass spectrometric approach, it was found that Ser-377, Thr-432, and Thr-489 in the motif CSX(S/T)CG carry the O-linked disaccharide Glc-Fuc-O-Ser/Thr.</t>
  </si>
  <si>
    <t>O-linked disaccharide</t>
  </si>
  <si>
    <t>This is the first protein in which such a disaccharide has been identified, although protein O-fucosylation is well described in epidermal growth factor-like modules.</t>
  </si>
  <si>
    <t>Both C- and O-glycosylations take place on residues that have been implicated in the interaction of TSP-1 with glycosaminoglycans or other cellular receptors.</t>
  </si>
  <si>
    <t>A nucleotide insertion and frameshift cause albumin Kenitra, an extended and O-glycosylated mutant of human serum albumin with two additional disulfide bridges.</t>
  </si>
  <si>
    <t>Albumin Kenitra is a new type of genetic variant of human serum albumin that has been found in two members of a family of Sephardic Jews from Kenitra (Morocco).</t>
  </si>
  <si>
    <t>The slow-migrating variant and the normal protein were isolated by anion-exchange chromatography and, after treatment with CNBr, the digests were analyzed by two-dimensional electrophoresis in a polyacrylamide gel.</t>
  </si>
  <si>
    <t>polyacrylamide</t>
  </si>
  <si>
    <t>The CNBr peptides of the variant were purified by reverse-phase high performance liquid chromatography and submitted to sequence analysis.</t>
  </si>
  <si>
    <t>Albumin Kenitra is peculiar because it has an elongated polypeptide chain, 601 residues instead of 585, and its sequence is modified beginning from residue 575.</t>
  </si>
  <si>
    <t>DNA structural studies showed that the variant is caused by a single-base insertion, an adenine at nucleotide position 15 970 in the genomic sequence, which leads to a frameshift with the subsequent translation to the first termination codon of exon 15.</t>
  </si>
  <si>
    <t>Mass spectrometric analyses revealed that the four additional cysteine residues of the variant form two new S-S bridges and showed that albumin Kenitra is partially O-glycosylated by a monosialylated HexHexNAc structure.</t>
  </si>
  <si>
    <t>monosialylated HexHexNAc structure</t>
  </si>
  <si>
    <t>This oligosaccharide chain has been located to Thr596 by amino-acid sequence analysis of the tryptic fragment 592-597.</t>
  </si>
  <si>
    <t>oligosaccharide chain</t>
  </si>
  <si>
    <t>Structure of the asparagine-linked sugar chains of porcine kidney and human urine cerebroside sulfate activator protein.</t>
  </si>
  <si>
    <t>The specific sugar residues and their linkages in the oligosaccharides from pig kidney and human urine cerebroside sulfate activator proteins (saposin B), although previously hypothesized, have been unambiguously characterized.</t>
  </si>
  <si>
    <t>Exhaustive sequential exoglycosidase digestion of the trimethyl-p-aminophenyl derivatives, followed by either matrix-assisted laser desorption/ionization and/or mass spectrometry, was used to define the residues and their linkages.</t>
  </si>
  <si>
    <t>The oligosaccharides were enzymatically released from the proteins by treatment with peptidyl-N-glycosidase F and separated from the proteins by reversed-phase high-performance liquid chromatography (HPLC).</t>
  </si>
  <si>
    <t>Reducing termini were converted to the trimethyl-p-aminophenyl derivative and the samples were further purified by normal-phase HPLC.</t>
  </si>
  <si>
    <t>The derivatized carbohydrates were then treated sequentially with a series of exoglycosidases of defined specificity, and the products of each digestion were examined by mass spectrometry.</t>
  </si>
  <si>
    <t>The pentasaccharides from pig kidney and human urine protein were shown to be of the asparagine-linked complex type composed of mannose-alpha 1-6-mannose-beta 1-4-N-acetylglucosamine-N-acetylglucosamine(alpha 1-6-fucose).</t>
  </si>
  <si>
    <t>pentasaccharides</t>
  </si>
  <si>
    <t>asparagine-linked complex type</t>
  </si>
  <si>
    <t>mannose-alpha 1-6-mannose-beta 1-4-N-acetylglucosamine-N-acetylglucosamine(alpha 1-6-fucose)</t>
  </si>
  <si>
    <t>This highly degraded structure probably represents the final product of intra-lysosomal exoglycosidase digestion.</t>
  </si>
  <si>
    <t>Oligosaccharide sequencing by specific exoglycosidase degradation coupled with mass spectrometry is more rapid than conventional oligosaccharide sequencing.</t>
  </si>
  <si>
    <t>Oligosaccharide</t>
  </si>
  <si>
    <t>The procedures developed will be useful for sequencing other oligosaccharides including those from other members of the lipid-binding protein class to which cerebroside sulfate activator belongs. (c) 2000 John Wiley &amp; Sons, Ltd.</t>
  </si>
  <si>
    <t>cerebroside sulfate</t>
  </si>
  <si>
    <t>Characterization of the glycosylation sites in cyclooxygenase-2 using mass spectrometry.</t>
  </si>
  <si>
    <t>Cyclooxygenase is involved in the biosynthesis and function of prostaglandins.</t>
  </si>
  <si>
    <t>It is a glycoprotein located in the endoplasmic reticulum and in the nuclear envelope, and it has been found to have two isoforms termed COX-1 and COX-2.</t>
  </si>
  <si>
    <t>This paper reports on the glycosylation site analysis of recombinant COX-2 using matrix-assisted laser desorption/ionization (MALDI) time-of-flight (TOF) mass spectrometry (MS) and nanoelectrospray (nanoESI) quadrupole-TOF (Q-TOF) MS.</t>
  </si>
  <si>
    <t>The nanoESI MS analysis of COX-2 revealed the presence of three glycoforms at average molecular masses of 71.4, 72.7, and 73.9 kDa.</t>
  </si>
  <si>
    <t>Each glycoform contained a number of peaks differing by 162 Da indicating heterogeneity and suggesting the presence of high-mannose sugars.</t>
  </si>
  <si>
    <t>high-mannose</t>
  </si>
  <si>
    <t>The masses of the glycoforms indicate that oligosaccharides occupy two to four sites and a single N-acetylglucosamine (GlcNAc) residue occupied up to two sites.</t>
  </si>
  <si>
    <t>The MALDI MS analysis of a tryptic digest of the protein showed a number of potential glycopeptides.</t>
  </si>
  <si>
    <t>The peptides differed by 162 Da which further suggested high-mannose sugars.</t>
  </si>
  <si>
    <t>Nanoelectrospray MS/MS experiments confirmed glycosylation at the Asn 53 and Asn 130 sites and confirmed the presence of the peptides Asn 396-Arg 414 + GlcNAc and Thr 576-Arg 587 + GlcNAc containing Asn 580.</t>
  </si>
  <si>
    <t>Finally, a non-glycosylated tryptic peptide was observed containing the Asn 592.</t>
  </si>
  <si>
    <t>Complete analysis of the glycosylation and disulfide bond pattern of human beta-hexosaminidase B by MALDI-MS. beta-hexosaminidase B is an enzyme that is involved in the degradation of glycolipids and glycans in the lysosome.</t>
  </si>
  <si>
    <t>Mutation in the HEXB gene lead to Sandhoff disease, a glycolipid storage disorder characterized by severe neurodegeneration.</t>
  </si>
  <si>
    <t>So far, little structural information on the protein is available.</t>
  </si>
  <si>
    <t>Here, the complete analysis of the disulfide bond pattern of the protein is described for the first time.</t>
  </si>
  <si>
    <t>Additionally, the structures of the N-glycans are analyzed for the native human protein and for recombinant protein expressed in SF21 cells.</t>
  </si>
  <si>
    <t>For the analysis of the disulfide bond structure, the protein was proteolytically digested and the resulting peptides were analyzed by MALDI-MS.</t>
  </si>
  <si>
    <t>The analysis revealed three disulfide bonds (C91-C137; C309-C360; C534-C551) and a free cysteine (C487).</t>
  </si>
  <si>
    <t>The analysis of the N-glycosylation was performed by tryptic digestion of the protein, isolation of glycopeptides by lectin chromatography and mass measurement before and after enzymatic deglycosylation.</t>
  </si>
  <si>
    <t>Carbohydrate structures were calculated from the mass difference between glycosylated and deglycosylated peptide.</t>
  </si>
  <si>
    <t>Carbohydrate structures</t>
  </si>
  <si>
    <t>For beta-hexosaminidase B from human placenta, four N-glycans were identified and analyzed, whereas the recombinant protein expressed in SF21 cells carried only three glycans.</t>
  </si>
  <si>
    <t>In both cases the glycosylation belongs to the mannose-core- or high-mannose-type, and some carbohydrate structures are fucosylated.</t>
  </si>
  <si>
    <t>mannose-core</t>
  </si>
  <si>
    <t>high-mannose-type</t>
  </si>
  <si>
    <t>Characterization of human apolipoprotein B100 oligosaccharides in LDL subfractions derived from normal and hyperlipidemic plasma: deficiency of alpha-N-acetylneuraminyllactosyl-ceramide in light and small dense LDL particles.</t>
  </si>
  <si>
    <t>alpha-N-acetylneuraminyllactosyl-ceramide</t>
  </si>
  <si>
    <t>The carbohydrate composition of apolipoprotein (apo) B100, particularly its degree of sialylation, may contribute to the atherogenic properties of low-density lipoprotein (LDL).</t>
  </si>
  <si>
    <t>We analyzed LDL apoB100 glycans derived from normolipidemic, hypercholesterolemic, and hypertriglyceridemic diabetic subjects.</t>
  </si>
  <si>
    <t>Using exoglycosidase carbohydrate sequencing and matrix-assisted laser desorption/ionization mass spectrometry to analyze fluorescently labeled oligosaccharides, we report evidence for several carbohydrates not previously identified on apoB100, including truncated complex biantennary N-glycans and hybrid N-glycans.</t>
  </si>
  <si>
    <t>complex biantennary N-glycans</t>
  </si>
  <si>
    <t>hybrid N-glycans</t>
  </si>
  <si>
    <t>GSD000110</t>
  </si>
  <si>
    <t>Hybrid</t>
  </si>
  <si>
    <t>The distribution and diversity of the apoB100 glycans isolated from all individuals was highly conserved.</t>
  </si>
  <si>
    <t>The N-glycan composition of apoB100 derived from five LDL subpopulations (LDL1, d = 1.018-1.023; LDL2, d = 1.023-1.030; LDL3, d = 1.030-1.040; LDL4, d = 1.040-1.051; LDL5, d = 1.051-1.065 g/ml) did not vary in normolipidemic or hypercholesterolemic subjects.</t>
  </si>
  <si>
    <t>N-glycan</t>
  </si>
  <si>
    <t>Furthermore, we found no evidence for "desialylated" apoB100 glycans in any of the samples analyzed.</t>
  </si>
  <si>
    <t>desialylated" apoB100 glycans</t>
  </si>
  <si>
    <t>Analysis of the most abundant LDL ganglioside, alpha-N-acetylneuraminyllactosyl-ceramide, revealed a deficiency in small dense LDL and in the most buoyant subpopulation.</t>
  </si>
  <si>
    <t>These data provide a novel explanation for the apparent deficiency of sialic acid in small dense LDL and indicate that the global apoB100 N-glycan composition is invariable in the patient groups studied.</t>
  </si>
  <si>
    <t>Determination of carbohydrate structures N-linked to soluble CD154 and characterization of the interactions of CD40 with CD154 expressed in Pichia pastoris and Chinese hamster ovary cells.</t>
  </si>
  <si>
    <t>carbohydrate structures N-linked</t>
  </si>
  <si>
    <t>CD40-CD154 (CD40 ligand) interactions are essential for the development of protective immunity.</t>
  </si>
  <si>
    <t>Previous studies have described the CD40 binding site as a shallow groove formed between two monomers of CD154.</t>
  </si>
  <si>
    <t>However, these studies have not examined the structure or biological function of the carbohydrate on CD154.</t>
  </si>
  <si>
    <t>Human CD154 contains a single N-linked glycosylation site at asparagine 240.</t>
  </si>
  <si>
    <t>We have characterized the interactions between CD40 and soluble (s) CD154 in which sCD154 contains different types of carbohydrates.</t>
  </si>
  <si>
    <t>Detailed carbohydrate analysis revealed high-mannose structures on sCD154 purified from Pichia pastoris, whereas CD154 purified from Chinese hamster ovary E1A contained heterogeneous populations of complex carbohydrates. sCD154 purified from either system was trimeric, it bound to CD40 with similar affinities of 10-30 nM, and it functionally induced CD69 and CD95 expression on primary B cells.</t>
  </si>
  <si>
    <t>complex carbohydrates</t>
  </si>
  <si>
    <t>trimeric</t>
  </si>
  <si>
    <t>Together, these results indicate that the presence of varied types of N-linked glycans on asparagine 240 of CD154 does not play a significant role in the CD40-CD154 interactions.</t>
  </si>
  <si>
    <t>The glycan structure of albumin Redhill, a glycosylated variant of human serum albumin.</t>
  </si>
  <si>
    <t>glycan structure</t>
  </si>
  <si>
    <t>Although human serum albumin is synthesized without carbohydrate, glycosylated variants of the protein can be found.</t>
  </si>
  <si>
    <t>We have determined the structure of the glycan bound to the double-mutant albumin Redhill (-1 Arg, 320 Ala--&gt;Thr).</t>
  </si>
  <si>
    <t>glycan</t>
  </si>
  <si>
    <t>The oligosaccharide was released from the protein using anhydrous hydrazine, and its structure was investigated using neuraminidase and a reagent array analysis method, which is based on the use of specific exoglycosidases.</t>
  </si>
  <si>
    <t>The glycan was shown to be a disialylated biantennary complex type oligosaccharide N-linked to 318 Asn.</t>
  </si>
  <si>
    <t>disialylated biantennary complex type oligosaccharide N-linked</t>
  </si>
  <si>
    <t>However, a minor part (11 mol%) of the glycan was without sialic acid.</t>
  </si>
  <si>
    <t>The structure is principally the same as that of glycans bound to two other types of glycosylated albumin variants.</t>
  </si>
  <si>
    <t>Glycosylation can affect, for example, the fatty acid binding properties of albumin.</t>
  </si>
  <si>
    <t>Taking the present information into account, it is apparent that different effects on binding are caused not by different glycan structures but by different locations of attachment, with the possible addition of local conformational changes in the protein molecule.</t>
  </si>
  <si>
    <t>Structural analysis of sulfated N-linked oligosaccharides in erythropoietin.</t>
  </si>
  <si>
    <t>sulfated N-linked oligosaccharides</t>
  </si>
  <si>
    <t>We previously demonstrated that high-performance liquid chromatography with electrospray ionization mass spectrometry (LC/MS) equipped with a graphitized carbon column (GCC) is useful for the structural analysis of carbohydrates in glycoproteins.</t>
  </si>
  <si>
    <t>Using LC/MS with GCC, sulfated N-linked oligosaccharides were found in erythropoietin (EPO) expressed in baby hamster kidney cells.</t>
  </si>
  <si>
    <t>Sulfation occurs in a part of the N-linked oligosaccharides in the EPO.</t>
  </si>
  <si>
    <t>Sulfated monosaccharide residue in the sulfated N-linked oligosaccharide was determined by exoglycosidase digestion followed by sugar mapping by LC/MS.</t>
  </si>
  <si>
    <t>Sulfated monosaccharide</t>
  </si>
  <si>
    <t>sulfated N-linked oligosaccharide</t>
  </si>
  <si>
    <t>The linkage position and branch-location of the sulfate group in the tetraantennary oligosaccharide were analyzed by (1)H-nuclear magnetic resonance.</t>
  </si>
  <si>
    <t>tetraantennary oligosaccharide</t>
  </si>
  <si>
    <t>It was suggested that sulfation occurs on the C-6 position of GlcNAc located in the GlcNAcbeta1-4Manalpha1-3 branch.</t>
  </si>
  <si>
    <t>GlcNAcbeta1-4Manalpha1-3</t>
  </si>
  <si>
    <t>Structural analysis of N-linked glycans in Caenorhabditis elegans.</t>
  </si>
  <si>
    <t>Caenorhabditis elegans is an excellent model for morphogenetic research.</t>
  </si>
  <si>
    <t>However, little information is available on the structure of cell-surface glycans in C. elegans, although several lines of evidence have suggested a role for these glycans in cell-cell interactions during development.</t>
  </si>
  <si>
    <t>In this study, we analyzed N-glycan structures.</t>
  </si>
  <si>
    <t>Oligosaccharides liberated by hydrazinolysis from a total membrane fraction were labeled by pyridylamination, and around 90% of the N-glycans were detected as neutral oligosaccharides.</t>
  </si>
  <si>
    <t>The most dominant structure was Man(alpha)1-6(Man(alpha)1-3)Man(beta)1-4GlcNAc(beta)1-4GlcNAc, which is commonly found in insects.</t>
  </si>
  <si>
    <t>Man(alpha)1-6(Man(alpha)1-3)Man(beta)1-4GlcNAc(beta)1-4GlcNAc</t>
  </si>
  <si>
    <t>Branching structures of major oligomannose-type glycans were the same as those found in mammals.</t>
  </si>
  <si>
    <t>oligomannose-type glycans</t>
  </si>
  <si>
    <t>Structures that had a core fucose or non-reducing end N-acetylglucosamine were also identified, but ordinary complex-type glycans with N-acetyllactosamine were not detected as major components.</t>
  </si>
  <si>
    <t>core fucose</t>
  </si>
  <si>
    <t>N-acetyllactosamine</t>
  </si>
  <si>
    <t>N-glycosylation potential of maize: the human lactoferrin used as a model.</t>
  </si>
  <si>
    <t>In order to determine the N-glycosylation potential of maize, a monocotyledon expression system for the production of recombinant glycoproteins, human lactoferrin was used as a model.</t>
  </si>
  <si>
    <t>The human lactoferrin coding sequence was inserted into the pUC18 plasmid under control of the wheat glutenin promoter.</t>
  </si>
  <si>
    <t>Maize was stably transformed and recombinant lactoferrin was purified from the fourth generation seeds.</t>
  </si>
  <si>
    <t>Glycosylation was analysed by gas chromatography, lectin detection, glycosidase digestions and mass spectrometry.</t>
  </si>
  <si>
    <t>The results indicated that both N-glycosylation sites of recombinant lactoferrin are mainly substituted by typical plant paucimannose-type glycans, with beta1,2-xylose and alpha1,3-linked fucose at the proximal N-acetylglucosamine, and that complex-type glycans with Lewis(a) determinants are not present in maize recombinant lactoferrin.</t>
  </si>
  <si>
    <t>paucimannose-type glycans</t>
  </si>
  <si>
    <t>beta1,2-xylose</t>
  </si>
  <si>
    <t>alpha1,3-linked fucose</t>
  </si>
  <si>
    <t>Lewis(a) determinants</t>
  </si>
  <si>
    <t>Characterization of N- and O-linked glycosylation of recombinant human bile salt-stimulated lipase secreted by Pichia pastoris.</t>
  </si>
  <si>
    <t>Recombinant human bile salt-stimulated lipase (hBSSL) was expressed in and secreted by Pichia pastoris, an organism exploited for the large-scale production of recombinant (glyco)proteins by bioprocessing technology.</t>
  </si>
  <si>
    <t>The 76.3-kDa glycoprotein was associated with 75-80 Man and a small amount of GlcNAc. hBSSL has one N-glycosylation site at Asn187, which was 38-40% occupied with a Man(10)GlcNAc(2) structure defined previously in Pichia as the oligosaccharide-lipid form of Man(9)GlcNAc(2) trimmed of the middle-arm terminal alpha 1,2-Man and elongated with Man alpha 1,2Man alpha 1,6-disaccharide attached to the lower-arm core alpha 1,3-Man (Trimble et al. [1991], J.</t>
  </si>
  <si>
    <t>Man(10)GlcNAc(2)</t>
  </si>
  <si>
    <t>Man(9)GlcNAc(2)</t>
  </si>
  <si>
    <t>Chem., 266, 22807-22817).</t>
  </si>
  <si>
    <t>The C-terminal 192 residues of hBSSL contain 16 Pro-rich 11-amino-acid repeats, which include 32 Ser/Thr residues as potential O-glycosylation sites.</t>
  </si>
  <si>
    <t>Using hBSSL as a platform to study Pichia's O-glycosylation capabilities, we found that nearly all of these sites were occupied by mannose-containing O-glycans, whose structures, after beta-elimination and purification, were assigned by (1)H NMR and, in some cases, by linkage-specific exoglycosidases and methylation analysis.</t>
  </si>
  <si>
    <t>mannose-containing O-glycans</t>
  </si>
  <si>
    <t>The most abundant O-glycan was alpha 1,2-mannobiitol (55%), followed by alpha 1,2-mannotriitol (16%) and mannitol (10%) and a lesser amount was alpha 1,2-mannotetraitol.</t>
  </si>
  <si>
    <t>O-glycan</t>
  </si>
  <si>
    <t>alpha 1,2-mannobiitol</t>
  </si>
  <si>
    <t>alpha 1,2-mannotriitol</t>
  </si>
  <si>
    <t>alpha 1,2-mannotetraitol</t>
  </si>
  <si>
    <t>Unexpectedly, Man(5) and Man(6) O-glycans were present, which had the structure Man beta 1,2Man beta 1,2Man alpha 1,2(Man alpha 1,2)(1,2)mannitol.</t>
  </si>
  <si>
    <t>Man(6) O-glycans</t>
  </si>
  <si>
    <t>Man beta 1,2Man beta 1,2Man alpha 1,2(Man alpha 1,2)(1,2)mannitol</t>
  </si>
  <si>
    <t>Man(5) O-glycans</t>
  </si>
  <si>
    <t>Also a small amount of a phosphorylated Man(6) O-glycan was characterized by MALDI-TOF MS postsource decay analysis as having the reducing-end mannitol disubstituted with a glycosidically linked phosphorylated Man and an unbranched Man(4) polymer elongated from a different mannitol carbon.</t>
  </si>
  <si>
    <t>phosphorylated Man(6) O-glycan</t>
  </si>
  <si>
    <t>phosphorylated Man</t>
  </si>
  <si>
    <t>unbranched Man(4) polymer</t>
  </si>
  <si>
    <t>This is the first report of the synthesis of beta-Man- and phosphate-containing O-linked constituents on glycoproteins synthesized by P. pastoris.</t>
  </si>
  <si>
    <t>beta-Man</t>
  </si>
  <si>
    <t>phosphate-containing O-linked</t>
  </si>
  <si>
    <t>Structural characterization of recombinant soluble rat neuroligin 1: mapping of secondary structure and glycosylation by mass spectrometry.</t>
  </si>
  <si>
    <t>Neuroligins (NLs) are a family of transmembrane proteins that function in synapse formation and/or remodeling by interacting with beta-neurexins (beta-NXs) to form heterophilic cell adhesions.</t>
  </si>
  <si>
    <t>The large N-terminal extracellular domain of NLs, required for beta-NX interactions, has sequence homology to the alpha/beta hydrolase fold superfamily of proteins.</t>
  </si>
  <si>
    <t>By peptide mapping and mass spectrometric analysis of a soluble recombinant form of NL1, several structural features of the extracellular domain have been established.</t>
  </si>
  <si>
    <t>Of the nine cysteine residues in NL1, eight are shown to form intramolecular disulfide bonds.</t>
  </si>
  <si>
    <t>Disulfide pairings of Cys 117 to Cys 153 and Cys 342 to Cys 353 are consistent with disulfide linkages that are conserved among the family of alpha/beta hydrolase proteins.</t>
  </si>
  <si>
    <t>The disulfide bond between Cys 172 and Cys 181 occurs within a region of the protein encoded by an alternatively spliced exon.</t>
  </si>
  <si>
    <t>The disulfide pairing of Cys 512 and Cys 546 in NL1 yields a structural motif unique to the NLs, since these residues are highly conserved.</t>
  </si>
  <si>
    <t>The potential N-glycosylation sequons in NL1 at Asn 109, Asn 303, Asn 343, and Asn 547 are shown occupied by carbohydrate.</t>
  </si>
  <si>
    <t>An additional consensus sequence for N-glycosylation at Asn 662 is likely occupied.</t>
  </si>
  <si>
    <t>Analysis of N-linked oligosaccharide content by mass matching paradigms reveals significant microheterogeneous populations of complex glycosyl moieties.</t>
  </si>
  <si>
    <t>complex glycosyl moieties</t>
  </si>
  <si>
    <t>In addition, O-linked glycosylation is observed in the predicted stalk region of NL1, prior to the transmembrane spanning domain.</t>
  </si>
  <si>
    <t>From predictions based on sequence homology of NL1 to acetylcholinesterase and the molecular features of NL1 established from mass spectrometric analysis, a novel topology model for NL three-dimensional structure has been constructed.</t>
  </si>
  <si>
    <t>Analysis of site-specific glycosylation in recombinant human follistatin expressed in Chinese hamster ovary cells.</t>
  </si>
  <si>
    <t>Follistatin (FS), a glycoprotein, plays an important role in cell growth and differentiation through the neutralization of the biological activities of activins.</t>
  </si>
  <si>
    <t>In this study, we analyzed the glycosylation of recombinant human FS (rhFS) produced in Chinese hamster ovary cells.</t>
  </si>
  <si>
    <t>FS contains two potential N-glycosylation sites, Asn95 and Asn259.</t>
  </si>
  <si>
    <t>Using mass spectrometric peptide/glycopeptide mapping and precursor-ion scanning, we found that both N-glycosylation sites were partially glycosylated.</t>
  </si>
  <si>
    <t>Monosaccharide composition analyses suggested the linkages of fucosylated bi- and triantennary complex-type oligosaccharides on rhFS.</t>
  </si>
  <si>
    <t>Monosaccharide</t>
  </si>
  <si>
    <t>fucosylated bi-antennary complex-type oligosaccharides</t>
  </si>
  <si>
    <t>fucosylated triantennary complex-type oligosaccharides</t>
  </si>
  <si>
    <t>This finding was supported by mass spectrometric oligosaccharide profiling, in which the m/z values and elution times of some of the oligosaccharides from rhFS were in good agreement with those of standard oligosaccharides.</t>
  </si>
  <si>
    <t>Site-specific glycosylation was deduced on the basis of the mass spectra of the glycopeptides.</t>
  </si>
  <si>
    <t>It was suggested that biantennary oligosaccharides are major oligosaccharides located at both Asn95 and Asn259, whereas the triantennary structures are present mainly at Asn95.</t>
  </si>
  <si>
    <t>biantennary oligosaccharides</t>
  </si>
  <si>
    <t>triantennary structures</t>
  </si>
  <si>
    <t>Site-specific carbohydrate profiling of human transferrin by nano-flow liquid chromatography/electrospray ionization mass spectrometry.</t>
  </si>
  <si>
    <t>Glycopeptides derived from a lysylendopeptidase digest of commercially available human transferrin were analyzed by nano-flow liquid chromatography/electrospray ionization mass spectrometry (LC/ESI-MS), which permitted the carbohydrate profiles at Asn432 and Asn630 to be determined.</t>
  </si>
  <si>
    <t>Both are located in a well-known motif for N-glycosylation, Asn-Xaa-Ser/Thr.</t>
  </si>
  <si>
    <t>The contents of the carbohydrates at each site were significantly different from each other, and consisted of a variety of minor types of oligosaccharides in addition to the major one, a biantennary complex-type oligosaccharide.</t>
  </si>
  <si>
    <t>biantennary complex-type oligosaccharide</t>
  </si>
  <si>
    <t>Nano-flow ESI tandem mass spectrometry (MS/MS) of the glycopeptides (Cys421-Lys433 and Ile619-Lys646) containing these two sites yielded predominantly ions originating from the non-reducing termini (oxonium ions) and reducing terminus, resulting from cleavage of the glycosidic bonds of the carbohydrate moieties; this permitted the structural read-out of a small minority of the carbohydrate moieties.</t>
  </si>
  <si>
    <t>In particular, the observation of oxonium ions at m/z 512.2 and 803.2 is useful for probing outer non-reducing terminal fucosylation, which represented carbohydrate structures consisting of Hex, dHex, and HexNAc, and NeuNAc, Hex, dHex, and HexNAc, respectively, from which the Lewis X structure (Galbeta1-4(Fucalpha1-3)GlcNAc) was readily deduced.</t>
  </si>
  <si>
    <t>Hex</t>
  </si>
  <si>
    <t>dHex</t>
  </si>
  <si>
    <t>HexNAc</t>
  </si>
  <si>
    <t>NeuNAc</t>
  </si>
  <si>
    <t>Lewis X structure</t>
  </si>
  <si>
    <t>Moreover, fucosylation at the reducing-terminal GlcNAc (Fucalpha1-6GlcNAc) specifically occurred at Asn630, as demonstrated by treatment of the glycopeptides with alpha1-3/4-L-fucosidase.</t>
  </si>
  <si>
    <t>terminal GlcNAc</t>
  </si>
  <si>
    <t>SO4-4GalNAc beta 1, 4GlcNAc beta 1, 2Man alpha</t>
  </si>
  <si>
    <t>SO4-3Gal</t>
  </si>
  <si>
    <t>Fuc alpha 1-3GlcNAc</t>
  </si>
  <si>
    <r>
      <t>GalNAc beta (1-4)</t>
    </r>
    <r>
      <rPr>
        <sz val="15"/>
        <color rgb="FF111111"/>
        <rFont val="Arial"/>
        <family val="2"/>
      </rPr>
      <t> [Fuc alpha (1-3)]GlcNAc beta (1-2) </t>
    </r>
  </si>
  <si>
    <t xml:space="preserve">mono- </t>
  </si>
  <si>
    <t>?</t>
  </si>
  <si>
    <t>B</t>
  </si>
  <si>
    <t>Blood group B</t>
  </si>
  <si>
    <t>difucosyl difucosyl B determinants</t>
  </si>
  <si>
    <t>difucosyl B</t>
  </si>
  <si>
    <t>tri-antennary complex-type carbohydrate</t>
  </si>
  <si>
    <t>fucose-threonine</t>
  </si>
  <si>
    <t>CD43</t>
  </si>
  <si>
    <r>
      <t>NeuNAc alpha 2----3Gal beta 1----3 (</t>
    </r>
    <r>
      <rPr>
        <sz val="15"/>
        <color rgb="FF082F49"/>
        <rFont val="Arial"/>
        <family val="2"/>
      </rPr>
      <t>NeuNAc alpha 2----3Gal beta 1----4G1cNAc beta 1----6) GalNAcOH</t>
    </r>
  </si>
  <si>
    <t>NeuNAc alpha 2----3Gal beta 1----3 (NeuNAc alpha 2----6) GalNAcOH</t>
  </si>
  <si>
    <t>NeuNAc alpha 2----3Gal beta 1----3 (NeuNAc alpha 2----3Gal beta 1----4GlcNAc beta 1----6) GalNAcOH</t>
  </si>
  <si>
    <t>galactosyl-N-acetylgalactosamine</t>
  </si>
  <si>
    <t>(alpha-)N-acetylneuraminic acid</t>
  </si>
  <si>
    <t>Fucalpha1-6GlcNAc</t>
  </si>
  <si>
    <t>Xyl2-Glc</t>
  </si>
  <si>
    <t>Characterization of acid and non-acid glycosphingolipids of porcine heart valve cusps as potential immune targets in biological heart valve grafts.</t>
  </si>
  <si>
    <t>acid glycosphingolipids</t>
  </si>
  <si>
    <t>BACKGROUND: Although xenotransplantation of vascularized organs/cells has not yet reached the clinic, glutaraldehyde-treated bioprosthetic heart valves (BHV), derived from porcine or bovine tissues, are today used for clinical replacement of diseased heart valves.</t>
  </si>
  <si>
    <t>However, the durability of these valve cusps is limited partly due to the onset of immune responses to the grafts.</t>
  </si>
  <si>
    <t>The xenoantigen-determinant Galalpha3Gal- and corresponding anti-Gal antibodies have been postulated to in part contribute to BHV damage.</t>
  </si>
  <si>
    <t>However, the presence of other non-Gal carbohydrate antigen determinants as well as the immune response to these non-Gal antigens and the inflammatory response generated by their interaction with the immune system has not been studied.</t>
  </si>
  <si>
    <t>non-Gal antigens</t>
  </si>
  <si>
    <t>In this study, we have isolated and structurally characterized both non-acid and acid glycosphingolipids from naive porcine aortic and pulmonary valve cusps.</t>
  </si>
  <si>
    <t>METHODS: Total non-acid and acid glycosphingolipids were isolated from porcine aortic and pulmonalis valve cusps of 20 animals.</t>
  </si>
  <si>
    <t>Glycosphingolipid components were structurally characterized by thin-layer chromatography, liquid chromatography-mass spectrometry and binding of monoclonal antibodies and lectins.</t>
  </si>
  <si>
    <t>Glycosphingolipid</t>
  </si>
  <si>
    <t>RESULTS: The non-acid glycosphingolipids were characterized as globotetraosylceramide, H-type 2 pentaosylceramide, fucosyl-gangliotetraosylceramide, and Galalpha3neolactotetraosylceramide.</t>
  </si>
  <si>
    <t>non-acid glycosphingolipids</t>
  </si>
  <si>
    <t>H-type 2 pentaosylceramide</t>
  </si>
  <si>
    <t>fucosyl-gangliotetraosylceramide</t>
  </si>
  <si>
    <t>Galalpha3neolactotetraosylceramide</t>
  </si>
  <si>
    <t>The acid glycosphingolipid fractions had both sulfatide and gangliosides (GM3, GM2, GM1, fucosyl-GM1, GD3 and GD1a), and all gangliosides contained N-acetyl-neuraminic acid.</t>
  </si>
  <si>
    <t>acid glycosphingolipid</t>
  </si>
  <si>
    <t>fucosyl-GM1</t>
  </si>
  <si>
    <t>GSD000071</t>
  </si>
  <si>
    <t>Fucosyl GM1</t>
  </si>
  <si>
    <t>N-acetyl-neuraminic acid</t>
  </si>
  <si>
    <t>Significantly, the N-glycolyl-neuraminic acid (NeuGc) variant, a major component in many pig organs and to which humans can develop antibodies, was not detected among the gangliosides.</t>
  </si>
  <si>
    <t>N-glycolyl-neuraminic acid</t>
  </si>
  <si>
    <t>NeuGc</t>
  </si>
  <si>
    <t>CONCLUSIONS: Pig valve cusps contain several complex lipid-bound carbohydrate structures that may be targets for the human immune system.</t>
  </si>
  <si>
    <t>Notable, the NeuGc determinant was absent in the cusp gangliosides.</t>
  </si>
  <si>
    <t>NeuGc determinant</t>
  </si>
  <si>
    <t>This work forms a platform for further characterizing the antibody reactivity of patients with porcine-derived BHV.</t>
  </si>
  <si>
    <t>Molecular species analysis of monosialogangliosides from sea urchin Strongylocentrotus nudus by RPLC-ESI-MS/MS.</t>
  </si>
  <si>
    <t>monosialogangliosides</t>
  </si>
  <si>
    <t>Sea urchin gangliosides have been proved to contain neuritogenic activities, which related to their molecular compositions.</t>
  </si>
  <si>
    <t>This study reports a method utilizing reversed-phase chromatography coupled to mass spectrometry for structure investigation and molecular species determination of the monosialogangliosides from sea urchin Strongylocentrotus nudus.</t>
  </si>
  <si>
    <t>Two types of sulfated and nonsulfated monosialogangliosides were isolated from the sea urchin ovary.</t>
  </si>
  <si>
    <t>nonsulfated monosialogangliosides</t>
  </si>
  <si>
    <t>sulfatedonsulfated monosialogangliosides</t>
  </si>
  <si>
    <t>In MS(2) spectra of both nonsulfated monosialoganglioside and sulfated monosialoganglioside, 2-6 linked sialic acids were identified by the characteristic fragments of (0,4)A2-CO2 and (0,2)A1.</t>
  </si>
  <si>
    <t>nonsulfated monosialoganglioside</t>
  </si>
  <si>
    <t>sulfated monosialoganglioside</t>
  </si>
  <si>
    <t>linked sialic acids</t>
  </si>
  <si>
    <t>Fragment ions at m/z 139.1 and m/z 169.1 of nonsulfated monosialoganglioside might be characteristic for 8-sulfated sialic acid residue.</t>
  </si>
  <si>
    <t>8-sulfated sialic acid</t>
  </si>
  <si>
    <t>Retention time of the molecules was effectively used in the characterization of unknown molecules, and molecules that differ in mass by only 0.04 Da were easily differentiated.</t>
  </si>
  <si>
    <t>Rho GTPase Rac1: molecular switch within the galectin network and for N-glycan alpha2,6-sialylation/O-glycan core 1 sialylation in colon cancer in vitro.</t>
  </si>
  <si>
    <t>The Rho GTPase Rac1 is a multifunctional protein working through different effector pathways.</t>
  </si>
  <si>
    <t>The emerging physiological significance of glycanlectin recognition gives reason to testing the possibility for an influence of modulation of Rac1 expression on these molecular aspects.</t>
  </si>
  <si>
    <t>glycanlectin</t>
  </si>
  <si>
    <t>Using human colon adenocarcinoma (SW620) cells genetically engineered for its up- and down-regulation (Rac1+ and Rac1- cells) along with wild-type and mock-transfected control cells, the questions are addressed whether the presence of adhesion/growth-regulatory galectins and distinct aspects of cell surface glycosylation are affected.</t>
  </si>
  <si>
    <t>Proceeding from RT-PCR data to Western blotting after two-dimensional gel electrophoresis and flow cytofluorimetry with non-crossreactive antibodies against six members of this lectin family (i.e. galectins-1, -3, -4, -7, -8 and -9), a reduced extent of the presence of galectins-1, -7 and -9 was revealed in the case of Rac1  cells.</t>
  </si>
  <si>
    <t>Application of these six galectins as probes to determination of cell reactivity for human lectins yielded relative increases in surface labelling of Rac1- cells with galectins-1, -3 and -7.</t>
  </si>
  <si>
    <t>Examining distinct aspects of cell surface glycosylation with a panel of 14 plant/fungal lectins disclosed a decrease in alpha2,6-sialylation of N-glycans and an increase in PNA-reactive sites (i.e. non-sialylated core 1 O-glycans), two alterations known to favour reactivity for galectins-1 and -3.</t>
  </si>
  <si>
    <t>non-sialylated core 1 O-glycans</t>
  </si>
  <si>
    <t>Thus, manipulation of Rac1 expression selectively affects the expression pattern within the galectin network at the level of proteins and distinct aspects of cell surface glycosylation.</t>
  </si>
  <si>
    <t>Galactosyl-lactose sialylation using Trypanosoma cruzi trans-sialidase as the biocatalyst and bovine kappa-casein-derived glycomacropeptide as the donor substrate. trans-Sialidase (TS) enzymes catalyze the transfer of sialyl (Sia) residues from Sia(alpha2-3)Gal(beta1-x)-glycans (sialo-glycans) to Gal(beta1-x)-glycans (asialo-glycans).</t>
  </si>
  <si>
    <t>Aiming to apply this concept for the sialylation of linear and branched (Gal)nGlc oligosaccharide mixtures (GOS) using bovine kappa-casein-derived glycomacropeptide (GMP) as the sialic acid donor, a kinetic study has been carried out with three components of GOS, i.e., 3'-galactosyl-lactose (beta3'-GL), 4'-galactosyl-lactose (beta4'-GL), and 6'-galactosyl-lactose (beta6'-GL).</t>
  </si>
  <si>
    <t>3'-galactosyl-lactose</t>
  </si>
  <si>
    <t>4'-galactosyl-lactose</t>
  </si>
  <si>
    <t>linear nGlc oligosaccharide</t>
  </si>
  <si>
    <t>Gal nGlc oligosaccharide</t>
  </si>
  <si>
    <t>branched nGlc oligosaccharide</t>
  </si>
  <si>
    <t>This prebiotic GOS is prepared from lactose by incubation with suitable beta-galactosidases, whereas GMP is a side-stream product of the dairy industry.</t>
  </si>
  <si>
    <t>The trans-sialidase from Trypanosoma cruzi (TcTS) was expressed in Escherichia coli and purified.</t>
  </si>
  <si>
    <t>Its temperature and pH optima were determined to be 25 C and pH 5.0, respectively.</t>
  </si>
  <si>
    <t>GMP [sialic acid content, 3.6% (wt/wt); N-acetylneuraminic acid (Neu5Ac), &gt;99%; (alpha2-3)-linked Neu5Ac, 59%] was found to be an efficient sialyl donor, and up to 95% of the (alpha2-3)-linked Neu5Ac could be transferred to lactose when a 10-fold excess of this acceptor substrate was used.</t>
  </si>
  <si>
    <t>The products of the TcTS-catalyzed sialylation of beta3'-GL, beta4'-GL, and beta6'-GL, using GMP as the sialic acid donor, were purified, and their structures were elucidated by nuclear magnetic resonance spectroscopy.</t>
  </si>
  <si>
    <t>GMP</t>
  </si>
  <si>
    <t>Monosialylated beta3'-GL and beta4'-GL contained Neu5Ac connected to the terminal Gal residue; however, in the case of beta6'-GL, TcTS was shown to sialylate the 3 position of both the internal and terminal Gal moieties, yielding two different monosialylated products and a disialylated structure.</t>
  </si>
  <si>
    <t>Monosialylated beta3</t>
  </si>
  <si>
    <t>terminal Gal moieties</t>
  </si>
  <si>
    <t>disialylated structure</t>
  </si>
  <si>
    <t>GSD000062</t>
  </si>
  <si>
    <t>Disialyl I</t>
  </si>
  <si>
    <t>internal Gal moieties</t>
  </si>
  <si>
    <t>Kinetic analyses showed that TcTS had higher affinity for the GL substrates than lactose, while the Vmax and kcat values were higher in the case of lactose.</t>
  </si>
  <si>
    <t>Identification of distinct glycoforms of IgA1 in plasma from patients with immunoglobulin A (IgA) nephropathy and healthy individuals.</t>
  </si>
  <si>
    <t>Immunoglobulin A nephropathy (IgAN) is the most common form of glomerulonephritis worldwide and is histologically characterized by the deposition of IgA1 and consequent inflammation in the glomerular mesangium.</t>
  </si>
  <si>
    <t>Prior studies suggested that serum IgA1 from IgAN patients contains aberrant, undergalactosylated O-glycans, for example, Tn antigen and its sialylated version, SialylTn (STn), but the mechanisms underlying aberrant O-glycosylation are not well understood.</t>
  </si>
  <si>
    <t>undergalactosylated O-glycans</t>
  </si>
  <si>
    <t>Tn antigen</t>
  </si>
  <si>
    <t>GSD000167</t>
  </si>
  <si>
    <t>SialylTn</t>
  </si>
  <si>
    <t>Here we have used serial lectin separation technologies, Western blot, enzymatic modifications, and mass spectrometry to explore whether there are different glycoforms of IgA1 in plasma from patients with IgAN and healthy individuals.</t>
  </si>
  <si>
    <t>Although total plasma IgA in IgAN patients was elevated ~ 1.6-fold compared with that in healthy donors, IgA1 in all samples was unexpectedly separable into two distinct glycoforms: one with core 1 based O-glycans, and the other exclusively containing Tn/STn structures.</t>
  </si>
  <si>
    <t>core 1</t>
  </si>
  <si>
    <t>GSD000186</t>
  </si>
  <si>
    <t>Core 1</t>
  </si>
  <si>
    <t>Importantly, Tn antigen present on IgA1 from IgAN patients and controls was convertible into the core 1 structure in vitro by recombinant T-synthase.</t>
  </si>
  <si>
    <t>core 1 structure</t>
  </si>
  <si>
    <t>Our results demonstrate that undergalactosylation of O-glycans in IgA1 is not restricted to IgAN and suggest that in vivo inefficiency of T-synthase toward IgA1 in a subpopulation of B or plasma cells, as well as overall elevation of IgA, may contribute to IgAN pathogenesis.</t>
  </si>
  <si>
    <t>Expression of natural human beta1,4-GalT1 variants and of non-mammalian homologues in plants leads to differences in galactosylation of N-glycans. beta1,4-Galactosylation of plant N-glycans is a prerequisite for commercial production of certain biopharmaceuticals in plants.</t>
  </si>
  <si>
    <t>Two different types of galactosylated N-glycans have initially been reported in plants as the result of expression of human beta1,4-galactosyltransferase 1 (GalT).</t>
  </si>
  <si>
    <t>galactosylated N-glycans</t>
  </si>
  <si>
    <t>Here we show that these differences are associated with differences at its N-terminus: the natural short variant of human GalT results in hybrid type N-glycans, whereas the long form generates bi-antennary complex type N-glycans.</t>
  </si>
  <si>
    <t>hybrid type N-glycans</t>
  </si>
  <si>
    <t>bi-antennary complex type N-glycans</t>
  </si>
  <si>
    <t>Furthermore, expression of non-mammalian, chicken and zebrafish GalT homologues with N-termini resembling the short human GalT N-terminus also induce hybrid type N-glycans.</t>
  </si>
  <si>
    <t>Providing both non-mammalian GalTs with a 13 amino acid N-terminal extension that distinguishes the two naturally occurring forms of human GalT, acted to increase the levels of bi-antennary galactosylated N-glycans when expressed in tobacco leaves.</t>
  </si>
  <si>
    <t>bi-antennary galactosylated N-glycans</t>
  </si>
  <si>
    <t>Replacement of the cytosolic tail and transmembrane domain of chicken and zebrafish GalTs with the corresponding region of rat alpha2,6-sialyltransferase yielded a gene whose expression enhanced the level of bi-antennary galactosylation even further.</t>
  </si>
  <si>
    <t>bi-antennary galactosylation</t>
  </si>
  <si>
    <t>Molecular subtyping of metastatic melanoma based on cell ganglioside metabolism profiles.</t>
  </si>
  <si>
    <t>BACKGROUND: In addition to alterations concerning the expression of oncogenes and onco-suppressors, melanoma is characterized by the presence of distinctive gangliosides (sialic acid carrying glycosphingolipids).</t>
  </si>
  <si>
    <t>Gangliosides strongly control cell surface dynamics and signaling; therefore, it could be assumed that these alterations are linked to modifications of cell behavior acquired by the tumor.</t>
  </si>
  <si>
    <t>On these bases, this work investigated the correlations between melanoma cell ganglioside metabolism profiles and the biological features of the tumor and the survival of patients.</t>
  </si>
  <si>
    <t>METHODS: Melanoma cell lines were established from surgical specimens of AJCC stage III and IV melanoma patients.</t>
  </si>
  <si>
    <t>Sphingolipid analysis was carried out on melanoma cell lines and melanocytes through cell metabolic labeling employing [3-3H]sphingosine and by FACS.</t>
  </si>
  <si>
    <t>Sphingolipid</t>
  </si>
  <si>
    <t>N-glycolyl GM3 was identified employing the 14 F7 antibody.</t>
  </si>
  <si>
    <t>N-glycolyl GM3</t>
  </si>
  <si>
    <t>Gene expression was assayed by Real Time PCR.</t>
  </si>
  <si>
    <t>Cell invasiveness was assayed through a Matrigel invasion assay; cell proliferation was determined through the soft agar assay, MTT, and [3H] thymidine incorporation.</t>
  </si>
  <si>
    <t>Statistical analysis was performed using XLSTAT software for melanoma hierarchical clustering based on ganglioside profile, the Kaplan-Meier method, the log-rank (Mantel-Cox) test, and the Mantel-Haenszel test for survival analysis.</t>
  </si>
  <si>
    <t>RESULTS: Based on the ganglioside profiles, through a hierarchical clustering, we classified melanoma cells isolated from patients into three clusters: 1) cluster 1, characterized by high content of GM3, mainly in the form of N-glycolyl GM3, and GD3; 2) cluster 2, characterized by the appearance of complex gangliosides and by a low content of GM3; 3) cluster 3, which showed an intermediate phenotype between cluster 1 and cluster 3.</t>
  </si>
  <si>
    <t>complex gangliosides</t>
  </si>
  <si>
    <t>Moreover, our data demonstrated that: a) a correlation could be traced between patients' survival and clusters based on ganglioside profiles, with cluster 1 showing the worst survival; b) the expression of several enzymes (sialidase NEU3, GM2 and GM1 synthases) involved in ganglioside metabolism was associated with patients' survival; c) melanoma clusters showed different malignant features such as growth in soft agar, invasiveness, expression of anti-apoptotic proteins.</t>
  </si>
  <si>
    <t>CONCLUSIONS: Ganglioside profile and metabolism is strictly interconnected with melanoma aggressiveness.</t>
  </si>
  <si>
    <t>Ganglioside</t>
  </si>
  <si>
    <t>Therefore, the profiling of melanoma gangliosides and enzymes involved in their metabolism could represent a useful prognostic and diagnostic tool.</t>
  </si>
  <si>
    <t>Restoration of compact Golgi morphology in advanced prostate cancer enhances susceptibility to galectin-1-induced apoptosis by modifying mucin O-glycan synthesis.</t>
  </si>
  <si>
    <t>UNLABELLED: Prostate cancer progression is associated with upregulation of sialyl-T antigen produced by beta-galactoside alpha-2,3-sialyltransferase-1 (ST3Gal1) but not with core 2-associated polylactosamine despite expression of core 2 N-acetylglucosaminyltransferase-L (C2GnT-L/GCNT1).</t>
  </si>
  <si>
    <t>sialyl-T antigen</t>
  </si>
  <si>
    <t>GSD000153</t>
  </si>
  <si>
    <t>Sialyl T antigen</t>
  </si>
  <si>
    <t>core 2-associated polylactosamine</t>
  </si>
  <si>
    <t>This property allows androgen-refractory prostate cancer cells to evade galectin-1 (LGALS1)-induced apoptosis, but the mechanism is not known.</t>
  </si>
  <si>
    <t>We have recently reported that Golgi targeting of glycosyltransferases is mediated by golgins: giantin (GOLGB1) for C2GnT-M (GCNT3) and GM130 (GOLGA2)-GRASP65 (GORASP1) or GM130-giantin for core 1 synthase.</t>
  </si>
  <si>
    <t>GM130</t>
  </si>
  <si>
    <t>GM130-giantin</t>
  </si>
  <si>
    <t>Here, we show that for Golgi targeting, C2GnT-L also uses giantin exclusively whereas ST3Gal1 uses either giantin or GM130-GRASP65.</t>
  </si>
  <si>
    <t>GM130-GRASP65</t>
  </si>
  <si>
    <t>In addition, the compact Golgi morphology is detected in both androgen-sensitive prostate cancer and normal prostate cells, but fragmented Golgi and mislocalization of C2GnT-L are found in androgen-refractory cells as well as primary prostate tumors (Gleason grade 2-4).</t>
  </si>
  <si>
    <t>Furthermore, failure of giantin monomers to be phosphorylated and dimerized prevents Golgi from forming compact morphology and C2GnT-L from targeting the Golgi.</t>
  </si>
  <si>
    <t>On the other hand, ST3Gal1 reaches the Golgi by an alternate site, GM130-GRASP65.</t>
  </si>
  <si>
    <t>Interestingly, inhibition or knockdown of non-muscle myosin IIA (MYH9) motor protein frees up Rab6a GTPase to promote phosphorylation of giantin by polo-like kinase 3 (PLK3), which is followed by dimerization of giantin assisted by protein disulfide isomerase A3 (PDIA3), and restoration of compact Golgi morphology and targeting of C2GnT-L.</t>
  </si>
  <si>
    <t>Finally, the Golgi relocation of C2GnT-L in androgen-refractory cells results in their increased susceptibility to galectin-1-induced apoptosis by replacing sialyl-T antigen with polylactosamine.</t>
  </si>
  <si>
    <t>polylactosamine</t>
  </si>
  <si>
    <t>IMPLICATIONS: This study demonstrates the importance of Golgi morphology and regulation of glycosylation and provides insight into how the Golgi influences cancer progression and metastasis.</t>
  </si>
  <si>
    <t>Solid-phase methylamidation for sialoglycomics by MALDI-MS.</t>
  </si>
  <si>
    <t>Matrix-assisted laser desorption/ionization mass spectrometry (MALDI-MS) has been a major approach for glycan analysis.</t>
  </si>
  <si>
    <t>However, the preferential cleavage of the sialic acid moiety by in- and post-source decay influences the determination of sialylated glycans by MALDI-MS.</t>
  </si>
  <si>
    <t>sialic acid moiety</t>
  </si>
  <si>
    <t>sialylated glycans</t>
  </si>
  <si>
    <t>Many chemical derivatization methods were introduced to stabilize the sialylated glycan during MALDI-MS.</t>
  </si>
  <si>
    <t>sialylated glycan</t>
  </si>
  <si>
    <t>Among current derivatization methods, methylamidation is a promising means for simultaneous analysis of natural sialylated glycans regardless of their sialic acid linkage types.</t>
  </si>
  <si>
    <t>sialic acid linkage types</t>
  </si>
  <si>
    <t>Here, a novel derivatization method was developed, in which proteins were conjugated on the solid-phase support in order to stabilize the sialic acids by methylamidation and to reduce sample loss and contamination during the derivatization process.</t>
  </si>
  <si>
    <t>This derivatization strategy was used to investigate N-glycans from fetuin, a glycoprotein containing different types of complex N-glycans.</t>
  </si>
  <si>
    <t>The developed method was also applied to the N-glycan profiling of human serum from patients and healthy volunteers.</t>
  </si>
  <si>
    <t>Results were consistent with N-glycan profiling by HPLC-fluorescence detection.</t>
  </si>
  <si>
    <t>This new method provided a sensitive, simple, and robust approach for profiling glycan structures of complex samples.</t>
  </si>
  <si>
    <t>Nutrient regulation of signaling, transcription, and cell physiology by O-GlcNAcylation.</t>
  </si>
  <si>
    <t>GSD000138</t>
  </si>
  <si>
    <t>O-GlcNAc</t>
  </si>
  <si>
    <t>The nutrient sensor, O-linked N-acetylglucosamine (O-GlcNAc), cycles on and off nuclear and cytosolic proteins to regulate many cellular processes, including transcription and signaling.</t>
  </si>
  <si>
    <t>O-linked N-acetylglucosamine</t>
  </si>
  <si>
    <t>Dysregulated O-GlcNAcylation and its interplay with phosphorylation contribute to the etiology of diabetes, cancer, and neurodegeneration.</t>
  </si>
  <si>
    <t>Herein, we review recent findings about O-GlcNAc's regulation of cell physiology.</t>
  </si>
  <si>
    <t>O-GlcNAc's</t>
  </si>
  <si>
    <t>non-Gal carbohydrate antigen determinants</t>
  </si>
  <si>
    <t>2-6 linked sialic acids</t>
  </si>
  <si>
    <t>Sia(alpha2-3)Gal(beta1-x)-glycans | sialo-glycans | Gal(beta1-x)-glycans | asialo-glycans</t>
  </si>
  <si>
    <t>beta3'-GL | beta4'-GL | 6'-galactosyl-lactose | beta6'-GL</t>
  </si>
  <si>
    <t>(alpha2-3)-linked Neu5Ac | (alpha2-3)-linked Neu5Ac</t>
  </si>
  <si>
    <t xml:space="preserve">Monosialylated beta3'-GL | beta4'-GL </t>
  </si>
  <si>
    <t>monosialylated</t>
  </si>
  <si>
    <t>lactose</t>
  </si>
  <si>
    <t>Tn/STn structures</t>
  </si>
  <si>
    <t>10_abstracts</t>
  </si>
  <si>
    <t>Error type 1 - FN</t>
  </si>
  <si>
    <t>Error Type 1 - FN</t>
  </si>
  <si>
    <t>Error Type 1</t>
  </si>
  <si>
    <t>Error Type 2</t>
  </si>
  <si>
    <t>Error Type 2 - FN</t>
  </si>
  <si>
    <t>Error Type 3 - FN</t>
  </si>
  <si>
    <t>Error Type 3</t>
  </si>
  <si>
    <t>4 errors due to misclassification</t>
  </si>
  <si>
    <t>Error Type 4 - FN</t>
  </si>
  <si>
    <t>2 errors due to over extension or not extended properly (Both FP and FN)</t>
  </si>
  <si>
    <t>Error Type 4</t>
  </si>
  <si>
    <t>3 errors due to dictionary unmatched abbreviated sugar term</t>
  </si>
  <si>
    <t>Error Type 4 - FN | Error Type 5 - FN</t>
  </si>
  <si>
    <t>Error Type 5</t>
  </si>
  <si>
    <t>1 error due to disaccharide not detected</t>
  </si>
  <si>
    <t xml:space="preserve">8 errors due to not picking the parenthetical term. BERT did not pick and the parser did not include the parentheses term as the base NP </t>
  </si>
  <si>
    <t>Sequences</t>
  </si>
  <si>
    <t>Seq Error Type 1 - FN</t>
  </si>
  <si>
    <t>Seq Error Type 2 - FN</t>
  </si>
  <si>
    <t>Seq Error Type 3 - FN</t>
  </si>
  <si>
    <t>5 errors due to not properly detecting the entire sequence (FP and FN)</t>
  </si>
  <si>
    <t xml:space="preserve">3 errors due to not picking the sequence inside the parentheses. </t>
  </si>
  <si>
    <t>9 errors due to not picking a very long sequence (Listing of things, captured the first and not the 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</si>
</sst>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1"/>
      <color theme="1"/>
      <name val="Aptos Narrow"/>
      <family val="2"/>
      <scheme val="minor"/>
    </font>
    <font>
      <b/>
      <sz val="12"/>
      <color theme="1"/>
      <name val="Aptos Narrow"/>
      <scheme val="minor"/>
    </font>
    <font>
      <sz val="12"/>
      <color rgb="FF000000"/>
      <name val="Aptos Narrow"/>
      <family val="2"/>
      <scheme val="minor"/>
    </font>
    <font>
      <sz val="12"/>
      <color theme="1"/>
      <name val="Aptos Narrow"/>
      <scheme val="minor"/>
    </font>
    <font>
      <sz val="12"/>
      <color rgb="FFFF0000"/>
      <name val="Aptos Narrow"/>
      <family val="2"/>
      <scheme val="minor"/>
    </font>
    <font>
      <sz val="12"/>
      <color theme="1"/>
      <name val="Aptos Narrow (Body)"/>
    </font>
    <font>
      <sz val="15"/>
      <color rgb="FF111111"/>
      <name val="Arial"/>
      <family val="2"/>
    </font>
    <font>
      <sz val="15"/>
      <color rgb="FF082F49"/>
      <name val="Arial"/>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2" fillId="0" borderId="0" xfId="0" applyFont="1"/>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3" fillId="0" borderId="0" xfId="0" applyFont="1"/>
    <xf numFmtId="0" fontId="1" fillId="0" borderId="0" xfId="0" applyFont="1" applyAlignment="1">
      <alignment horizontal="center" vertical="top"/>
    </xf>
    <xf numFmtId="0" fontId="0" fillId="2" borderId="0" xfId="0" applyFill="1"/>
    <xf numFmtId="0" fontId="2" fillId="0" borderId="0" xfId="0" applyFont="1" applyAlignment="1">
      <alignment horizontal="center"/>
    </xf>
    <xf numFmtId="0" fontId="4" fillId="0" borderId="0" xfId="0" applyFont="1" applyAlignment="1">
      <alignment horizontal="left"/>
    </xf>
    <xf numFmtId="0" fontId="0" fillId="3" borderId="0" xfId="0" applyFill="1"/>
    <xf numFmtId="0" fontId="5" fillId="4" borderId="0" xfId="0" applyFont="1" applyFill="1"/>
    <xf numFmtId="0" fontId="1" fillId="0" borderId="4" xfId="0" applyFont="1" applyBorder="1" applyAlignment="1">
      <alignment horizontal="center" vertical="top"/>
    </xf>
    <xf numFmtId="0" fontId="7" fillId="0" borderId="0" xfId="0" applyFont="1"/>
    <xf numFmtId="0" fontId="8" fillId="0" borderId="0" xfId="0" applyFont="1"/>
    <xf numFmtId="2" fontId="2" fillId="0" borderId="0" xfId="0" applyNumberFormat="1" applyFont="1"/>
    <xf numFmtId="0" fontId="5" fillId="0" borderId="0" xfId="0" applyFo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93A4E-D746-8E4C-B604-53D0E18DB36B}">
  <dimension ref="A1:P116"/>
  <sheetViews>
    <sheetView topLeftCell="A55" zoomScale="88" workbookViewId="0">
      <selection activeCell="P117" sqref="P117"/>
    </sheetView>
  </sheetViews>
  <sheetFormatPr baseColWidth="10" defaultRowHeight="16" x14ac:dyDescent="0.2"/>
  <cols>
    <col min="3" max="3" width="75" style="6" customWidth="1"/>
    <col min="4" max="4" width="22" style="6" customWidth="1"/>
    <col min="5" max="8" width="0" hidden="1" customWidth="1"/>
    <col min="9" max="9" width="51.1640625" hidden="1" customWidth="1"/>
    <col min="11" max="11" width="24.1640625" customWidth="1"/>
  </cols>
  <sheetData>
    <row r="1" spans="1:15" x14ac:dyDescent="0.2">
      <c r="A1" s="1" t="s">
        <v>28</v>
      </c>
      <c r="B1" s="1" t="s">
        <v>29</v>
      </c>
      <c r="C1" s="5" t="s">
        <v>30</v>
      </c>
      <c r="D1" s="5" t="s">
        <v>31</v>
      </c>
      <c r="E1" s="1" t="s">
        <v>158</v>
      </c>
      <c r="F1" s="1" t="s">
        <v>165</v>
      </c>
      <c r="G1" s="1" t="s">
        <v>33</v>
      </c>
      <c r="H1" s="1" t="s">
        <v>34</v>
      </c>
      <c r="I1" s="1" t="s">
        <v>35</v>
      </c>
      <c r="J1" s="2" t="s">
        <v>170</v>
      </c>
      <c r="K1" s="2" t="s">
        <v>155</v>
      </c>
      <c r="L1" s="1" t="s">
        <v>32</v>
      </c>
      <c r="M1" s="3" t="s">
        <v>171</v>
      </c>
      <c r="N1" s="3" t="s">
        <v>147</v>
      </c>
      <c r="O1" s="3" t="s">
        <v>567</v>
      </c>
    </row>
    <row r="2" spans="1:15" ht="17" x14ac:dyDescent="0.2">
      <c r="A2">
        <v>818074</v>
      </c>
      <c r="B2">
        <v>0</v>
      </c>
      <c r="C2" s="6" t="s">
        <v>0</v>
      </c>
      <c r="J2" t="s">
        <v>169</v>
      </c>
      <c r="M2" t="s">
        <v>169</v>
      </c>
      <c r="O2" t="str">
        <f>IF(OR(J2="FP",M2="FP"),"FP",IF(AND(J2="TP",M2="TP"),"TP",""))</f>
        <v/>
      </c>
    </row>
    <row r="3" spans="1:15" ht="51" x14ac:dyDescent="0.2">
      <c r="A3">
        <v>818074</v>
      </c>
      <c r="B3">
        <v>1</v>
      </c>
      <c r="C3" s="6" t="s">
        <v>1</v>
      </c>
      <c r="D3" s="6" t="s">
        <v>2</v>
      </c>
      <c r="J3" t="s">
        <v>38</v>
      </c>
      <c r="L3" t="s">
        <v>38</v>
      </c>
      <c r="M3" t="s">
        <v>38</v>
      </c>
      <c r="O3" t="str">
        <f t="shared" ref="O3:O66" si="0">IF(OR(J3="FP",M3="FP"),"FP",IF(AND(J3="TP",M3="TP"),"TP",""))</f>
        <v/>
      </c>
    </row>
    <row r="4" spans="1:15" ht="51" x14ac:dyDescent="0.2">
      <c r="A4">
        <v>818074</v>
      </c>
      <c r="B4">
        <v>1</v>
      </c>
      <c r="C4" s="6" t="s">
        <v>1</v>
      </c>
      <c r="D4" s="6" t="s">
        <v>4</v>
      </c>
      <c r="J4" t="s">
        <v>146</v>
      </c>
      <c r="L4" t="s">
        <v>3</v>
      </c>
      <c r="M4" t="s">
        <v>146</v>
      </c>
      <c r="O4" t="str">
        <f t="shared" si="0"/>
        <v>TP</v>
      </c>
    </row>
    <row r="5" spans="1:15" ht="51" x14ac:dyDescent="0.2">
      <c r="A5">
        <v>818074</v>
      </c>
      <c r="B5">
        <v>1</v>
      </c>
      <c r="C5" s="6" t="s">
        <v>1</v>
      </c>
      <c r="D5" s="6" t="s">
        <v>5</v>
      </c>
      <c r="G5" t="s">
        <v>6</v>
      </c>
      <c r="H5" t="s">
        <v>7</v>
      </c>
      <c r="I5" t="s">
        <v>8</v>
      </c>
      <c r="J5" t="s">
        <v>146</v>
      </c>
      <c r="L5" t="s">
        <v>3</v>
      </c>
      <c r="M5" t="s">
        <v>146</v>
      </c>
      <c r="O5" t="str">
        <f t="shared" si="0"/>
        <v>TP</v>
      </c>
    </row>
    <row r="6" spans="1:15" ht="51" x14ac:dyDescent="0.2">
      <c r="A6">
        <v>818074</v>
      </c>
      <c r="B6">
        <v>1</v>
      </c>
      <c r="C6" s="6" t="s">
        <v>1</v>
      </c>
      <c r="D6" s="6" t="s">
        <v>9</v>
      </c>
      <c r="I6" t="s">
        <v>10</v>
      </c>
      <c r="J6" t="s">
        <v>146</v>
      </c>
      <c r="L6" t="s">
        <v>3</v>
      </c>
      <c r="M6" t="s">
        <v>146</v>
      </c>
      <c r="O6" t="str">
        <f t="shared" si="0"/>
        <v>TP</v>
      </c>
    </row>
    <row r="7" spans="1:15" ht="51" x14ac:dyDescent="0.2">
      <c r="A7">
        <v>818074</v>
      </c>
      <c r="B7">
        <v>1</v>
      </c>
      <c r="C7" s="6" t="s">
        <v>1</v>
      </c>
      <c r="D7" s="6" t="s">
        <v>11</v>
      </c>
      <c r="I7" t="s">
        <v>10</v>
      </c>
      <c r="J7" t="s">
        <v>146</v>
      </c>
      <c r="L7" t="s">
        <v>3</v>
      </c>
      <c r="M7" t="s">
        <v>146</v>
      </c>
      <c r="O7" t="str">
        <f t="shared" si="0"/>
        <v>TP</v>
      </c>
    </row>
    <row r="8" spans="1:15" ht="51" x14ac:dyDescent="0.2">
      <c r="A8">
        <v>818074</v>
      </c>
      <c r="B8">
        <v>1</v>
      </c>
      <c r="C8" s="6" t="s">
        <v>1</v>
      </c>
      <c r="D8" s="6" t="s">
        <v>12</v>
      </c>
      <c r="G8" t="s">
        <v>37</v>
      </c>
      <c r="H8" t="s">
        <v>36</v>
      </c>
      <c r="I8" t="s">
        <v>8</v>
      </c>
      <c r="J8" t="s">
        <v>146</v>
      </c>
      <c r="L8" t="s">
        <v>3</v>
      </c>
      <c r="M8" t="s">
        <v>146</v>
      </c>
      <c r="O8" t="str">
        <f t="shared" si="0"/>
        <v>TP</v>
      </c>
    </row>
    <row r="9" spans="1:15" ht="51" x14ac:dyDescent="0.2">
      <c r="A9">
        <v>818074</v>
      </c>
      <c r="B9">
        <v>1</v>
      </c>
      <c r="C9" s="6" t="s">
        <v>1</v>
      </c>
      <c r="D9" s="6" t="s">
        <v>13</v>
      </c>
      <c r="J9" t="s">
        <v>146</v>
      </c>
      <c r="L9" t="s">
        <v>3</v>
      </c>
      <c r="M9" t="s">
        <v>146</v>
      </c>
      <c r="O9" t="str">
        <f t="shared" si="0"/>
        <v>TP</v>
      </c>
    </row>
    <row r="10" spans="1:15" ht="51" x14ac:dyDescent="0.2">
      <c r="A10">
        <v>818074</v>
      </c>
      <c r="B10">
        <v>1</v>
      </c>
      <c r="C10" s="6" t="s">
        <v>1</v>
      </c>
      <c r="D10" s="6" t="s">
        <v>14</v>
      </c>
      <c r="I10" t="s">
        <v>10</v>
      </c>
      <c r="J10" t="s">
        <v>146</v>
      </c>
      <c r="L10" t="s">
        <v>3</v>
      </c>
      <c r="M10" t="s">
        <v>146</v>
      </c>
      <c r="O10" t="str">
        <f t="shared" si="0"/>
        <v>TP</v>
      </c>
    </row>
    <row r="11" spans="1:15" ht="51" x14ac:dyDescent="0.2">
      <c r="A11">
        <v>818074</v>
      </c>
      <c r="B11">
        <v>1</v>
      </c>
      <c r="C11" s="6" t="s">
        <v>1</v>
      </c>
      <c r="D11" s="6" t="s">
        <v>15</v>
      </c>
      <c r="J11" t="s">
        <v>146</v>
      </c>
      <c r="L11" t="s">
        <v>3</v>
      </c>
      <c r="M11" t="s">
        <v>146</v>
      </c>
      <c r="O11" t="str">
        <f t="shared" si="0"/>
        <v>TP</v>
      </c>
    </row>
    <row r="12" spans="1:15" ht="17" x14ac:dyDescent="0.2">
      <c r="A12">
        <v>818074</v>
      </c>
      <c r="B12">
        <v>2</v>
      </c>
      <c r="C12" s="6" t="s">
        <v>16</v>
      </c>
      <c r="J12" t="s">
        <v>169</v>
      </c>
      <c r="M12" t="s">
        <v>169</v>
      </c>
      <c r="O12" t="str">
        <f t="shared" si="0"/>
        <v/>
      </c>
    </row>
    <row r="13" spans="1:15" ht="51" x14ac:dyDescent="0.2">
      <c r="A13">
        <v>818074</v>
      </c>
      <c r="B13">
        <v>3</v>
      </c>
      <c r="C13" s="6" t="s">
        <v>17</v>
      </c>
      <c r="J13" t="s">
        <v>169</v>
      </c>
      <c r="M13" t="s">
        <v>169</v>
      </c>
      <c r="O13" t="str">
        <f t="shared" si="0"/>
        <v/>
      </c>
    </row>
    <row r="14" spans="1:15" ht="34" x14ac:dyDescent="0.2">
      <c r="A14">
        <v>818074</v>
      </c>
      <c r="B14">
        <v>4</v>
      </c>
      <c r="C14" s="6" t="s">
        <v>18</v>
      </c>
      <c r="D14" s="6" t="s">
        <v>19</v>
      </c>
      <c r="I14" t="s">
        <v>10</v>
      </c>
      <c r="J14" t="s">
        <v>146</v>
      </c>
      <c r="L14" t="s">
        <v>3</v>
      </c>
      <c r="M14" t="s">
        <v>146</v>
      </c>
      <c r="O14" t="str">
        <f t="shared" si="0"/>
        <v>TP</v>
      </c>
    </row>
    <row r="15" spans="1:15" ht="51" x14ac:dyDescent="0.2">
      <c r="A15">
        <v>818074</v>
      </c>
      <c r="B15">
        <v>5</v>
      </c>
      <c r="C15" s="6" t="s">
        <v>20</v>
      </c>
      <c r="D15" s="6" t="s">
        <v>21</v>
      </c>
      <c r="I15" t="s">
        <v>10</v>
      </c>
      <c r="J15" t="s">
        <v>146</v>
      </c>
      <c r="L15" t="s">
        <v>3</v>
      </c>
      <c r="M15" t="s">
        <v>146</v>
      </c>
      <c r="O15" t="str">
        <f t="shared" si="0"/>
        <v>TP</v>
      </c>
    </row>
    <row r="16" spans="1:15" ht="51" x14ac:dyDescent="0.2">
      <c r="A16">
        <v>818074</v>
      </c>
      <c r="B16">
        <v>5</v>
      </c>
      <c r="C16" s="6" t="s">
        <v>20</v>
      </c>
      <c r="D16" s="6" t="s">
        <v>21</v>
      </c>
      <c r="I16" t="s">
        <v>10</v>
      </c>
      <c r="J16" t="s">
        <v>146</v>
      </c>
      <c r="L16" t="s">
        <v>3</v>
      </c>
      <c r="M16" t="s">
        <v>146</v>
      </c>
      <c r="O16" t="str">
        <f t="shared" si="0"/>
        <v>TP</v>
      </c>
    </row>
    <row r="17" spans="1:15" ht="51" x14ac:dyDescent="0.2">
      <c r="A17">
        <v>818074</v>
      </c>
      <c r="B17">
        <v>5</v>
      </c>
      <c r="C17" s="6" t="s">
        <v>20</v>
      </c>
      <c r="D17" s="6" t="s">
        <v>5</v>
      </c>
      <c r="G17" t="s">
        <v>6</v>
      </c>
      <c r="H17" t="s">
        <v>7</v>
      </c>
      <c r="I17" t="s">
        <v>8</v>
      </c>
      <c r="J17" t="s">
        <v>146</v>
      </c>
      <c r="L17" t="s">
        <v>3</v>
      </c>
      <c r="M17" t="s">
        <v>146</v>
      </c>
      <c r="O17" t="str">
        <f t="shared" si="0"/>
        <v>TP</v>
      </c>
    </row>
    <row r="18" spans="1:15" ht="34" x14ac:dyDescent="0.2">
      <c r="A18">
        <v>818074</v>
      </c>
      <c r="B18">
        <v>6</v>
      </c>
      <c r="C18" s="6" t="s">
        <v>22</v>
      </c>
      <c r="D18" s="6" t="s">
        <v>15</v>
      </c>
      <c r="J18" t="s">
        <v>146</v>
      </c>
      <c r="L18" t="s">
        <v>3</v>
      </c>
      <c r="M18" t="s">
        <v>146</v>
      </c>
      <c r="O18" t="str">
        <f t="shared" si="0"/>
        <v>TP</v>
      </c>
    </row>
    <row r="19" spans="1:15" ht="34" x14ac:dyDescent="0.2">
      <c r="A19">
        <v>818074</v>
      </c>
      <c r="B19">
        <v>6</v>
      </c>
      <c r="C19" s="6" t="s">
        <v>22</v>
      </c>
      <c r="D19" s="6" t="s">
        <v>12</v>
      </c>
      <c r="G19" t="s">
        <v>37</v>
      </c>
      <c r="H19" t="s">
        <v>36</v>
      </c>
      <c r="I19" t="s">
        <v>8</v>
      </c>
      <c r="J19" t="s">
        <v>146</v>
      </c>
      <c r="L19" t="s">
        <v>3</v>
      </c>
      <c r="M19" t="s">
        <v>146</v>
      </c>
      <c r="O19" t="str">
        <f t="shared" si="0"/>
        <v>TP</v>
      </c>
    </row>
    <row r="20" spans="1:15" ht="34" x14ac:dyDescent="0.2">
      <c r="A20">
        <v>818074</v>
      </c>
      <c r="B20">
        <v>7</v>
      </c>
      <c r="C20" s="6" t="s">
        <v>23</v>
      </c>
      <c r="D20" s="6" t="s">
        <v>24</v>
      </c>
      <c r="J20" t="s">
        <v>38</v>
      </c>
      <c r="L20" t="s">
        <v>38</v>
      </c>
      <c r="M20" t="s">
        <v>38</v>
      </c>
      <c r="O20" t="str">
        <f t="shared" si="0"/>
        <v/>
      </c>
    </row>
    <row r="21" spans="1:15" ht="68" x14ac:dyDescent="0.2">
      <c r="A21">
        <v>818074</v>
      </c>
      <c r="B21">
        <v>8</v>
      </c>
      <c r="C21" s="6" t="s">
        <v>25</v>
      </c>
      <c r="J21" t="s">
        <v>169</v>
      </c>
      <c r="M21" t="s">
        <v>169</v>
      </c>
      <c r="O21" t="str">
        <f t="shared" si="0"/>
        <v/>
      </c>
    </row>
    <row r="22" spans="1:15" ht="17" x14ac:dyDescent="0.2">
      <c r="A22">
        <v>818074</v>
      </c>
      <c r="B22">
        <v>9</v>
      </c>
      <c r="C22" s="6" t="s">
        <v>26</v>
      </c>
      <c r="J22" t="s">
        <v>169</v>
      </c>
      <c r="M22" t="s">
        <v>169</v>
      </c>
      <c r="O22" t="str">
        <f t="shared" si="0"/>
        <v/>
      </c>
    </row>
    <row r="23" spans="1:15" ht="17" x14ac:dyDescent="0.2">
      <c r="A23">
        <v>818074</v>
      </c>
      <c r="B23">
        <v>10</v>
      </c>
      <c r="C23" s="6" t="s">
        <v>27</v>
      </c>
      <c r="J23" t="s">
        <v>169</v>
      </c>
      <c r="M23" t="s">
        <v>169</v>
      </c>
      <c r="O23" t="str">
        <f t="shared" si="0"/>
        <v/>
      </c>
    </row>
    <row r="24" spans="1:15" ht="34" x14ac:dyDescent="0.2">
      <c r="A24">
        <v>870059</v>
      </c>
      <c r="B24">
        <v>0</v>
      </c>
      <c r="C24" s="6" t="s">
        <v>39</v>
      </c>
      <c r="D24" s="6" t="s">
        <v>40</v>
      </c>
      <c r="J24" t="s">
        <v>38</v>
      </c>
      <c r="L24" t="s">
        <v>38</v>
      </c>
      <c r="M24" t="s">
        <v>38</v>
      </c>
      <c r="O24" t="str">
        <f t="shared" si="0"/>
        <v/>
      </c>
    </row>
    <row r="25" spans="1:15" ht="34" x14ac:dyDescent="0.2">
      <c r="A25">
        <v>870059</v>
      </c>
      <c r="B25">
        <v>0</v>
      </c>
      <c r="C25" s="6" t="s">
        <v>39</v>
      </c>
      <c r="D25" s="7" t="s">
        <v>41</v>
      </c>
      <c r="J25" t="s">
        <v>172</v>
      </c>
      <c r="L25" t="s">
        <v>38</v>
      </c>
      <c r="M25" t="s">
        <v>172</v>
      </c>
      <c r="O25" t="str">
        <f t="shared" si="0"/>
        <v/>
      </c>
    </row>
    <row r="26" spans="1:15" ht="34" x14ac:dyDescent="0.2">
      <c r="A26">
        <v>870059</v>
      </c>
      <c r="B26">
        <v>1</v>
      </c>
      <c r="C26" s="6" t="s">
        <v>42</v>
      </c>
      <c r="D26" s="6" t="s">
        <v>43</v>
      </c>
      <c r="J26" t="s">
        <v>169</v>
      </c>
      <c r="L26" t="s">
        <v>44</v>
      </c>
      <c r="M26" t="s">
        <v>169</v>
      </c>
      <c r="N26" t="s">
        <v>148</v>
      </c>
      <c r="O26" t="str">
        <f t="shared" si="0"/>
        <v/>
      </c>
    </row>
    <row r="27" spans="1:15" ht="51" x14ac:dyDescent="0.2">
      <c r="A27">
        <v>870059</v>
      </c>
      <c r="B27">
        <v>1</v>
      </c>
      <c r="C27" s="6" t="s">
        <v>42</v>
      </c>
      <c r="D27" s="6" t="s">
        <v>149</v>
      </c>
      <c r="I27" t="s">
        <v>10</v>
      </c>
      <c r="J27" t="s">
        <v>167</v>
      </c>
      <c r="L27" t="s">
        <v>3</v>
      </c>
      <c r="M27" t="s">
        <v>146</v>
      </c>
      <c r="N27" t="s">
        <v>168</v>
      </c>
      <c r="O27" t="str">
        <f t="shared" si="0"/>
        <v>FP</v>
      </c>
    </row>
    <row r="28" spans="1:15" ht="17" x14ac:dyDescent="0.2">
      <c r="A28">
        <v>870059</v>
      </c>
      <c r="B28">
        <v>2</v>
      </c>
      <c r="C28" s="6" t="s">
        <v>45</v>
      </c>
      <c r="J28" t="s">
        <v>169</v>
      </c>
      <c r="M28" t="s">
        <v>169</v>
      </c>
      <c r="O28" t="str">
        <f t="shared" si="0"/>
        <v/>
      </c>
    </row>
    <row r="29" spans="1:15" ht="68" x14ac:dyDescent="0.2">
      <c r="A29">
        <v>870059</v>
      </c>
      <c r="B29">
        <v>3</v>
      </c>
      <c r="C29" s="6" t="s">
        <v>46</v>
      </c>
      <c r="D29" s="6" t="s">
        <v>47</v>
      </c>
      <c r="J29" t="s">
        <v>169</v>
      </c>
      <c r="L29" t="s">
        <v>38</v>
      </c>
      <c r="M29" t="s">
        <v>169</v>
      </c>
      <c r="O29" t="str">
        <f t="shared" si="0"/>
        <v/>
      </c>
    </row>
    <row r="30" spans="1:15" ht="68" x14ac:dyDescent="0.2">
      <c r="A30">
        <v>870059</v>
      </c>
      <c r="B30">
        <v>3</v>
      </c>
      <c r="C30" s="6" t="s">
        <v>46</v>
      </c>
      <c r="D30" s="6" t="s">
        <v>48</v>
      </c>
      <c r="J30" t="s">
        <v>38</v>
      </c>
      <c r="L30" t="s">
        <v>38</v>
      </c>
      <c r="M30" t="s">
        <v>38</v>
      </c>
      <c r="O30" t="str">
        <f t="shared" si="0"/>
        <v/>
      </c>
    </row>
    <row r="31" spans="1:15" ht="68" x14ac:dyDescent="0.2">
      <c r="A31">
        <v>870059</v>
      </c>
      <c r="B31">
        <v>3</v>
      </c>
      <c r="C31" s="6" t="s">
        <v>46</v>
      </c>
      <c r="D31" s="6" t="s">
        <v>49</v>
      </c>
      <c r="I31" t="s">
        <v>10</v>
      </c>
      <c r="J31" t="s">
        <v>146</v>
      </c>
      <c r="L31" t="s">
        <v>44</v>
      </c>
      <c r="M31" t="s">
        <v>167</v>
      </c>
      <c r="N31" t="s">
        <v>150</v>
      </c>
      <c r="O31" t="str">
        <f t="shared" si="0"/>
        <v>FP</v>
      </c>
    </row>
    <row r="32" spans="1:15" ht="34" x14ac:dyDescent="0.2">
      <c r="A32">
        <v>870059</v>
      </c>
      <c r="B32">
        <v>4</v>
      </c>
      <c r="C32" s="6" t="s">
        <v>50</v>
      </c>
      <c r="J32" t="s">
        <v>169</v>
      </c>
      <c r="M32" t="s">
        <v>169</v>
      </c>
      <c r="O32" t="str">
        <f t="shared" si="0"/>
        <v/>
      </c>
    </row>
    <row r="33" spans="1:15" ht="51" x14ac:dyDescent="0.2">
      <c r="A33">
        <v>870059</v>
      </c>
      <c r="B33">
        <v>5</v>
      </c>
      <c r="C33" s="6" t="s">
        <v>51</v>
      </c>
      <c r="J33" t="s">
        <v>169</v>
      </c>
      <c r="M33" t="s">
        <v>169</v>
      </c>
      <c r="O33" t="str">
        <f t="shared" si="0"/>
        <v/>
      </c>
    </row>
    <row r="34" spans="1:15" ht="17" x14ac:dyDescent="0.2">
      <c r="A34">
        <v>870059</v>
      </c>
      <c r="B34">
        <v>6</v>
      </c>
      <c r="C34" s="6" t="s">
        <v>52</v>
      </c>
      <c r="J34" t="s">
        <v>169</v>
      </c>
      <c r="M34" t="s">
        <v>169</v>
      </c>
      <c r="O34" t="str">
        <f t="shared" si="0"/>
        <v/>
      </c>
    </row>
    <row r="35" spans="1:15" ht="34" x14ac:dyDescent="0.2">
      <c r="A35">
        <v>870059</v>
      </c>
      <c r="B35">
        <v>7</v>
      </c>
      <c r="C35" s="6" t="s">
        <v>53</v>
      </c>
      <c r="D35" s="6" t="s">
        <v>41</v>
      </c>
      <c r="J35" t="s">
        <v>172</v>
      </c>
      <c r="L35" t="s">
        <v>38</v>
      </c>
      <c r="M35" t="s">
        <v>172</v>
      </c>
      <c r="O35" t="str">
        <f t="shared" si="0"/>
        <v/>
      </c>
    </row>
    <row r="36" spans="1:15" ht="51" x14ac:dyDescent="0.2">
      <c r="A36">
        <v>870059</v>
      </c>
      <c r="B36">
        <v>8</v>
      </c>
      <c r="C36" s="6" t="s">
        <v>54</v>
      </c>
      <c r="D36" s="6" t="s">
        <v>55</v>
      </c>
      <c r="J36" t="s">
        <v>172</v>
      </c>
      <c r="L36" t="s">
        <v>38</v>
      </c>
      <c r="M36" t="s">
        <v>172</v>
      </c>
      <c r="O36" t="str">
        <f t="shared" si="0"/>
        <v/>
      </c>
    </row>
    <row r="37" spans="1:15" ht="51" x14ac:dyDescent="0.2">
      <c r="A37">
        <v>870059</v>
      </c>
      <c r="B37">
        <v>8</v>
      </c>
      <c r="C37" s="6" t="s">
        <v>54</v>
      </c>
      <c r="D37" s="6" t="s">
        <v>41</v>
      </c>
      <c r="J37" t="s">
        <v>172</v>
      </c>
      <c r="L37" t="s">
        <v>38</v>
      </c>
      <c r="M37" t="s">
        <v>172</v>
      </c>
      <c r="O37" t="str">
        <f t="shared" si="0"/>
        <v/>
      </c>
    </row>
    <row r="38" spans="1:15" ht="34" x14ac:dyDescent="0.2">
      <c r="A38">
        <v>870059</v>
      </c>
      <c r="B38">
        <v>9</v>
      </c>
      <c r="C38" s="6" t="s">
        <v>56</v>
      </c>
      <c r="D38" s="6" t="s">
        <v>57</v>
      </c>
      <c r="J38" t="s">
        <v>38</v>
      </c>
      <c r="L38" t="s">
        <v>38</v>
      </c>
      <c r="M38" t="s">
        <v>38</v>
      </c>
      <c r="O38" t="str">
        <f t="shared" si="0"/>
        <v/>
      </c>
    </row>
    <row r="39" spans="1:15" ht="17" x14ac:dyDescent="0.2">
      <c r="A39">
        <v>870059</v>
      </c>
      <c r="B39">
        <v>10</v>
      </c>
      <c r="C39" s="6" t="s">
        <v>58</v>
      </c>
      <c r="D39" s="6" t="s">
        <v>57</v>
      </c>
      <c r="J39" t="s">
        <v>38</v>
      </c>
      <c r="L39" t="s">
        <v>38</v>
      </c>
      <c r="M39" t="s">
        <v>38</v>
      </c>
      <c r="O39" t="str">
        <f t="shared" si="0"/>
        <v/>
      </c>
    </row>
    <row r="40" spans="1:15" ht="17" x14ac:dyDescent="0.2">
      <c r="A40">
        <v>870059</v>
      </c>
      <c r="B40">
        <v>10</v>
      </c>
      <c r="C40" s="6" t="s">
        <v>58</v>
      </c>
      <c r="D40" s="6" t="s">
        <v>15</v>
      </c>
      <c r="J40" t="s">
        <v>172</v>
      </c>
      <c r="L40" t="s">
        <v>3</v>
      </c>
      <c r="M40" t="s">
        <v>172</v>
      </c>
      <c r="O40" t="str">
        <f t="shared" si="0"/>
        <v/>
      </c>
    </row>
    <row r="41" spans="1:15" ht="34" x14ac:dyDescent="0.2">
      <c r="A41">
        <v>870059</v>
      </c>
      <c r="B41">
        <v>10</v>
      </c>
      <c r="C41" s="6" t="s">
        <v>58</v>
      </c>
      <c r="D41" s="6" t="s">
        <v>59</v>
      </c>
      <c r="E41" t="s">
        <v>159</v>
      </c>
      <c r="F41" t="s">
        <v>59</v>
      </c>
      <c r="J41" t="s">
        <v>146</v>
      </c>
      <c r="L41" t="s">
        <v>3</v>
      </c>
      <c r="M41" t="s">
        <v>146</v>
      </c>
      <c r="O41" t="str">
        <f t="shared" si="0"/>
        <v>TP</v>
      </c>
    </row>
    <row r="42" spans="1:15" ht="17" x14ac:dyDescent="0.2">
      <c r="A42">
        <v>870059</v>
      </c>
      <c r="B42">
        <v>10</v>
      </c>
      <c r="C42" s="6" t="s">
        <v>58</v>
      </c>
      <c r="D42" s="6" t="s">
        <v>60</v>
      </c>
      <c r="J42" t="s">
        <v>172</v>
      </c>
      <c r="L42" t="s">
        <v>61</v>
      </c>
      <c r="M42" t="s">
        <v>172</v>
      </c>
      <c r="O42" t="str">
        <f t="shared" si="0"/>
        <v/>
      </c>
    </row>
    <row r="43" spans="1:15" ht="17" x14ac:dyDescent="0.2">
      <c r="A43">
        <v>870059</v>
      </c>
      <c r="B43">
        <v>11</v>
      </c>
      <c r="C43" s="6" t="s">
        <v>62</v>
      </c>
      <c r="D43" s="6" t="s">
        <v>63</v>
      </c>
      <c r="J43" t="s">
        <v>146</v>
      </c>
      <c r="L43" t="s">
        <v>3</v>
      </c>
      <c r="M43" t="s">
        <v>146</v>
      </c>
      <c r="O43" t="str">
        <f t="shared" si="0"/>
        <v>TP</v>
      </c>
    </row>
    <row r="44" spans="1:15" ht="17" x14ac:dyDescent="0.2">
      <c r="A44">
        <v>870059</v>
      </c>
      <c r="B44">
        <v>11</v>
      </c>
      <c r="C44" s="6" t="s">
        <v>62</v>
      </c>
      <c r="D44" s="6" t="s">
        <v>64</v>
      </c>
      <c r="G44" t="s">
        <v>65</v>
      </c>
      <c r="H44" t="s">
        <v>64</v>
      </c>
      <c r="I44" t="s">
        <v>8</v>
      </c>
      <c r="J44" t="s">
        <v>146</v>
      </c>
      <c r="L44" t="s">
        <v>3</v>
      </c>
      <c r="M44" t="s">
        <v>146</v>
      </c>
      <c r="O44" t="str">
        <f t="shared" si="0"/>
        <v>TP</v>
      </c>
    </row>
    <row r="45" spans="1:15" ht="34" x14ac:dyDescent="0.2">
      <c r="A45">
        <v>1384262</v>
      </c>
      <c r="B45">
        <v>0</v>
      </c>
      <c r="C45" s="6" t="s">
        <v>66</v>
      </c>
      <c r="D45" s="6" t="s">
        <v>67</v>
      </c>
      <c r="J45" t="s">
        <v>146</v>
      </c>
      <c r="L45" t="s">
        <v>3</v>
      </c>
      <c r="M45" t="s">
        <v>146</v>
      </c>
      <c r="O45" t="str">
        <f t="shared" si="0"/>
        <v>TP</v>
      </c>
    </row>
    <row r="46" spans="1:15" ht="34" x14ac:dyDescent="0.2">
      <c r="A46">
        <v>1384262</v>
      </c>
      <c r="B46">
        <v>1</v>
      </c>
      <c r="C46" s="6" t="s">
        <v>68</v>
      </c>
      <c r="D46" s="6" t="s">
        <v>69</v>
      </c>
      <c r="J46" t="s">
        <v>38</v>
      </c>
      <c r="L46" t="s">
        <v>38</v>
      </c>
      <c r="M46" t="s">
        <v>38</v>
      </c>
      <c r="O46" t="str">
        <f t="shared" si="0"/>
        <v/>
      </c>
    </row>
    <row r="47" spans="1:15" ht="34" x14ac:dyDescent="0.2">
      <c r="A47">
        <v>1384262</v>
      </c>
      <c r="B47">
        <v>2</v>
      </c>
      <c r="C47" s="6" t="s">
        <v>70</v>
      </c>
      <c r="D47" s="6" t="s">
        <v>69</v>
      </c>
      <c r="J47" t="s">
        <v>38</v>
      </c>
      <c r="L47" t="s">
        <v>38</v>
      </c>
      <c r="M47" t="s">
        <v>38</v>
      </c>
      <c r="O47" t="str">
        <f t="shared" si="0"/>
        <v/>
      </c>
    </row>
    <row r="48" spans="1:15" ht="34" x14ac:dyDescent="0.2">
      <c r="A48">
        <v>1384262</v>
      </c>
      <c r="B48">
        <v>2</v>
      </c>
      <c r="C48" s="6" t="s">
        <v>70</v>
      </c>
      <c r="D48" s="6" t="s">
        <v>71</v>
      </c>
      <c r="J48" t="s">
        <v>172</v>
      </c>
      <c r="L48" t="s">
        <v>3</v>
      </c>
      <c r="M48" t="s">
        <v>172</v>
      </c>
      <c r="N48" t="s">
        <v>152</v>
      </c>
      <c r="O48" t="str">
        <f t="shared" si="0"/>
        <v/>
      </c>
    </row>
    <row r="49" spans="1:15" ht="34" x14ac:dyDescent="0.2">
      <c r="A49">
        <v>1384262</v>
      </c>
      <c r="B49">
        <v>2</v>
      </c>
      <c r="C49" s="6" t="s">
        <v>70</v>
      </c>
      <c r="D49" s="6" t="s">
        <v>72</v>
      </c>
      <c r="G49" t="s">
        <v>73</v>
      </c>
      <c r="H49" t="s">
        <v>72</v>
      </c>
      <c r="I49" t="s">
        <v>8</v>
      </c>
      <c r="J49" t="s">
        <v>146</v>
      </c>
      <c r="L49" t="s">
        <v>3</v>
      </c>
      <c r="M49" t="s">
        <v>146</v>
      </c>
      <c r="O49" t="str">
        <f t="shared" si="0"/>
        <v>TP</v>
      </c>
    </row>
    <row r="50" spans="1:15" ht="34" x14ac:dyDescent="0.2">
      <c r="A50">
        <v>1384262</v>
      </c>
      <c r="B50">
        <v>2</v>
      </c>
      <c r="C50" s="6" t="s">
        <v>70</v>
      </c>
      <c r="D50" s="6" t="s">
        <v>74</v>
      </c>
      <c r="G50" t="s">
        <v>75</v>
      </c>
      <c r="H50" t="s">
        <v>74</v>
      </c>
      <c r="I50" t="s">
        <v>8</v>
      </c>
      <c r="J50" t="s">
        <v>146</v>
      </c>
      <c r="L50" t="s">
        <v>3</v>
      </c>
      <c r="M50" t="s">
        <v>146</v>
      </c>
      <c r="O50" t="str">
        <f t="shared" si="0"/>
        <v>TP</v>
      </c>
    </row>
    <row r="51" spans="1:15" ht="34" x14ac:dyDescent="0.2">
      <c r="A51">
        <v>1384262</v>
      </c>
      <c r="B51">
        <v>2</v>
      </c>
      <c r="C51" s="6" t="s">
        <v>70</v>
      </c>
      <c r="D51" s="6" t="s">
        <v>76</v>
      </c>
      <c r="G51" t="s">
        <v>77</v>
      </c>
      <c r="H51" t="s">
        <v>76</v>
      </c>
      <c r="I51" t="s">
        <v>8</v>
      </c>
      <c r="J51" t="s">
        <v>146</v>
      </c>
      <c r="L51" t="s">
        <v>3</v>
      </c>
      <c r="M51" t="s">
        <v>146</v>
      </c>
      <c r="O51" t="str">
        <f t="shared" si="0"/>
        <v>TP</v>
      </c>
    </row>
    <row r="52" spans="1:15" ht="34" x14ac:dyDescent="0.2">
      <c r="A52">
        <v>1384262</v>
      </c>
      <c r="B52">
        <v>2</v>
      </c>
      <c r="C52" s="6" t="s">
        <v>70</v>
      </c>
      <c r="D52" s="6" t="s">
        <v>78</v>
      </c>
      <c r="G52" t="s">
        <v>79</v>
      </c>
      <c r="H52" t="s">
        <v>78</v>
      </c>
      <c r="I52" t="s">
        <v>8</v>
      </c>
      <c r="J52" t="s">
        <v>146</v>
      </c>
      <c r="L52" t="s">
        <v>3</v>
      </c>
      <c r="M52" t="s">
        <v>146</v>
      </c>
      <c r="O52" t="str">
        <f t="shared" si="0"/>
        <v>TP</v>
      </c>
    </row>
    <row r="53" spans="1:15" ht="34" x14ac:dyDescent="0.2">
      <c r="A53">
        <v>1384262</v>
      </c>
      <c r="B53">
        <v>2</v>
      </c>
      <c r="C53" s="6" t="s">
        <v>70</v>
      </c>
      <c r="D53" s="6" t="s">
        <v>80</v>
      </c>
      <c r="G53" t="s">
        <v>81</v>
      </c>
      <c r="H53" t="s">
        <v>80</v>
      </c>
      <c r="I53" t="s">
        <v>8</v>
      </c>
      <c r="J53" t="s">
        <v>146</v>
      </c>
      <c r="L53" t="s">
        <v>3</v>
      </c>
      <c r="M53" t="s">
        <v>146</v>
      </c>
      <c r="O53" t="str">
        <f t="shared" si="0"/>
        <v>TP</v>
      </c>
    </row>
    <row r="54" spans="1:15" ht="34" x14ac:dyDescent="0.2">
      <c r="A54">
        <v>1384262</v>
      </c>
      <c r="B54">
        <v>2</v>
      </c>
      <c r="C54" s="6" t="s">
        <v>70</v>
      </c>
      <c r="D54" s="6" t="s">
        <v>82</v>
      </c>
      <c r="G54" t="s">
        <v>83</v>
      </c>
      <c r="H54" t="s">
        <v>82</v>
      </c>
      <c r="I54" t="s">
        <v>8</v>
      </c>
      <c r="J54" t="s">
        <v>146</v>
      </c>
      <c r="L54" t="s">
        <v>3</v>
      </c>
      <c r="M54" t="s">
        <v>146</v>
      </c>
      <c r="O54" t="str">
        <f t="shared" si="0"/>
        <v>TP</v>
      </c>
    </row>
    <row r="55" spans="1:15" ht="34" x14ac:dyDescent="0.2">
      <c r="A55">
        <v>1384262</v>
      </c>
      <c r="B55">
        <v>3</v>
      </c>
      <c r="C55" s="6" t="s">
        <v>84</v>
      </c>
      <c r="D55" s="6" t="s">
        <v>64</v>
      </c>
      <c r="G55" t="s">
        <v>65</v>
      </c>
      <c r="H55" t="s">
        <v>64</v>
      </c>
      <c r="I55" t="s">
        <v>8</v>
      </c>
      <c r="J55" t="s">
        <v>146</v>
      </c>
      <c r="L55" t="s">
        <v>3</v>
      </c>
      <c r="M55" t="s">
        <v>146</v>
      </c>
      <c r="O55" t="str">
        <f t="shared" si="0"/>
        <v>TP</v>
      </c>
    </row>
    <row r="56" spans="1:15" ht="34" x14ac:dyDescent="0.2">
      <c r="A56">
        <v>1384262</v>
      </c>
      <c r="B56">
        <v>3</v>
      </c>
      <c r="C56" s="6" t="s">
        <v>84</v>
      </c>
      <c r="D56" s="6" t="s">
        <v>85</v>
      </c>
      <c r="G56" t="s">
        <v>86</v>
      </c>
      <c r="H56" t="s">
        <v>85</v>
      </c>
      <c r="I56" t="s">
        <v>8</v>
      </c>
      <c r="J56" t="s">
        <v>146</v>
      </c>
      <c r="K56" t="s">
        <v>166</v>
      </c>
      <c r="L56" t="s">
        <v>3</v>
      </c>
      <c r="M56" t="s">
        <v>146</v>
      </c>
      <c r="O56" t="str">
        <f t="shared" si="0"/>
        <v>TP</v>
      </c>
    </row>
    <row r="57" spans="1:15" ht="34" x14ac:dyDescent="0.2">
      <c r="A57">
        <v>1384262</v>
      </c>
      <c r="B57">
        <v>3</v>
      </c>
      <c r="C57" s="6" t="s">
        <v>84</v>
      </c>
      <c r="D57" s="6" t="s">
        <v>87</v>
      </c>
      <c r="I57" t="s">
        <v>10</v>
      </c>
      <c r="J57" t="s">
        <v>146</v>
      </c>
      <c r="L57" t="s">
        <v>44</v>
      </c>
      <c r="M57" t="s">
        <v>146</v>
      </c>
      <c r="O57" t="str">
        <f t="shared" si="0"/>
        <v>TP</v>
      </c>
    </row>
    <row r="58" spans="1:15" ht="51" x14ac:dyDescent="0.2">
      <c r="A58">
        <v>1384262</v>
      </c>
      <c r="B58">
        <v>4</v>
      </c>
      <c r="C58" s="6" t="s">
        <v>88</v>
      </c>
      <c r="D58" s="6" t="s">
        <v>69</v>
      </c>
      <c r="J58" t="s">
        <v>38</v>
      </c>
      <c r="L58" t="s">
        <v>38</v>
      </c>
      <c r="M58" t="s">
        <v>38</v>
      </c>
      <c r="O58" t="str">
        <f t="shared" si="0"/>
        <v/>
      </c>
    </row>
    <row r="59" spans="1:15" ht="51" x14ac:dyDescent="0.2">
      <c r="A59">
        <v>1384262</v>
      </c>
      <c r="B59">
        <v>4</v>
      </c>
      <c r="C59" s="6" t="s">
        <v>88</v>
      </c>
      <c r="D59" s="6" t="s">
        <v>74</v>
      </c>
      <c r="G59" t="s">
        <v>75</v>
      </c>
      <c r="H59" t="s">
        <v>74</v>
      </c>
      <c r="I59" t="s">
        <v>8</v>
      </c>
      <c r="J59" t="s">
        <v>146</v>
      </c>
      <c r="L59" t="s">
        <v>3</v>
      </c>
      <c r="M59" t="s">
        <v>146</v>
      </c>
      <c r="O59" t="str">
        <f t="shared" si="0"/>
        <v>TP</v>
      </c>
    </row>
    <row r="60" spans="1:15" ht="51" x14ac:dyDescent="0.2">
      <c r="A60">
        <v>1384262</v>
      </c>
      <c r="B60">
        <v>4</v>
      </c>
      <c r="C60" s="6" t="s">
        <v>88</v>
      </c>
      <c r="D60" s="6" t="s">
        <v>72</v>
      </c>
      <c r="G60" t="s">
        <v>73</v>
      </c>
      <c r="H60" t="s">
        <v>72</v>
      </c>
      <c r="I60" t="s">
        <v>8</v>
      </c>
      <c r="J60" t="s">
        <v>146</v>
      </c>
      <c r="L60" t="s">
        <v>3</v>
      </c>
      <c r="M60" t="s">
        <v>146</v>
      </c>
      <c r="O60" t="str">
        <f t="shared" si="0"/>
        <v>TP</v>
      </c>
    </row>
    <row r="61" spans="1:15" ht="51" x14ac:dyDescent="0.2">
      <c r="A61">
        <v>1384262</v>
      </c>
      <c r="B61">
        <v>4</v>
      </c>
      <c r="C61" s="6" t="s">
        <v>88</v>
      </c>
      <c r="D61" s="6" t="s">
        <v>76</v>
      </c>
      <c r="G61" t="s">
        <v>77</v>
      </c>
      <c r="H61" t="s">
        <v>76</v>
      </c>
      <c r="I61" t="s">
        <v>8</v>
      </c>
      <c r="J61" t="s">
        <v>146</v>
      </c>
      <c r="L61" t="s">
        <v>3</v>
      </c>
      <c r="M61" t="s">
        <v>146</v>
      </c>
      <c r="O61" t="str">
        <f t="shared" si="0"/>
        <v>TP</v>
      </c>
    </row>
    <row r="62" spans="1:15" ht="51" x14ac:dyDescent="0.2">
      <c r="A62">
        <v>1384262</v>
      </c>
      <c r="B62">
        <v>4</v>
      </c>
      <c r="C62" s="6" t="s">
        <v>88</v>
      </c>
      <c r="D62" s="6" t="s">
        <v>85</v>
      </c>
      <c r="G62" t="s">
        <v>86</v>
      </c>
      <c r="H62" t="s">
        <v>85</v>
      </c>
      <c r="I62" t="s">
        <v>8</v>
      </c>
      <c r="J62" t="s">
        <v>146</v>
      </c>
      <c r="L62" t="s">
        <v>3</v>
      </c>
      <c r="M62" t="s">
        <v>146</v>
      </c>
      <c r="O62" t="str">
        <f t="shared" si="0"/>
        <v>TP</v>
      </c>
    </row>
    <row r="63" spans="1:15" ht="51" x14ac:dyDescent="0.2">
      <c r="A63">
        <v>1384262</v>
      </c>
      <c r="B63">
        <v>4</v>
      </c>
      <c r="C63" s="6" t="s">
        <v>88</v>
      </c>
      <c r="D63" s="6" t="s">
        <v>64</v>
      </c>
      <c r="G63" t="s">
        <v>65</v>
      </c>
      <c r="H63" t="s">
        <v>64</v>
      </c>
      <c r="I63" t="s">
        <v>8</v>
      </c>
      <c r="J63" t="s">
        <v>146</v>
      </c>
      <c r="L63" t="s">
        <v>3</v>
      </c>
      <c r="M63" t="s">
        <v>146</v>
      </c>
      <c r="O63" t="str">
        <f t="shared" si="0"/>
        <v>TP</v>
      </c>
    </row>
    <row r="64" spans="1:15" ht="34" x14ac:dyDescent="0.2">
      <c r="A64">
        <v>1384262</v>
      </c>
      <c r="B64">
        <v>5</v>
      </c>
      <c r="C64" s="6" t="s">
        <v>89</v>
      </c>
      <c r="D64" s="6" t="s">
        <v>67</v>
      </c>
      <c r="J64" t="s">
        <v>146</v>
      </c>
      <c r="L64" t="s">
        <v>3</v>
      </c>
      <c r="M64" t="s">
        <v>146</v>
      </c>
      <c r="O64" t="str">
        <f t="shared" si="0"/>
        <v>TP</v>
      </c>
    </row>
    <row r="65" spans="1:15" ht="51" x14ac:dyDescent="0.2">
      <c r="A65">
        <v>1396705</v>
      </c>
      <c r="B65">
        <v>0</v>
      </c>
      <c r="C65" s="6" t="s">
        <v>90</v>
      </c>
      <c r="D65" s="6" t="s">
        <v>91</v>
      </c>
      <c r="I65" t="s">
        <v>10</v>
      </c>
      <c r="J65" t="s">
        <v>146</v>
      </c>
      <c r="L65" t="s">
        <v>3</v>
      </c>
      <c r="M65" t="s">
        <v>146</v>
      </c>
      <c r="O65" t="str">
        <f t="shared" si="0"/>
        <v>TP</v>
      </c>
    </row>
    <row r="66" spans="1:15" ht="34" x14ac:dyDescent="0.2">
      <c r="A66">
        <v>1396705</v>
      </c>
      <c r="B66">
        <v>0</v>
      </c>
      <c r="C66" s="6" t="s">
        <v>90</v>
      </c>
      <c r="D66" s="6" t="s">
        <v>92</v>
      </c>
      <c r="J66" t="s">
        <v>151</v>
      </c>
      <c r="L66" t="s">
        <v>3</v>
      </c>
      <c r="M66" t="s">
        <v>151</v>
      </c>
      <c r="O66" t="str">
        <f t="shared" si="0"/>
        <v/>
      </c>
    </row>
    <row r="67" spans="1:15" ht="51" x14ac:dyDescent="0.2">
      <c r="A67">
        <v>1396705</v>
      </c>
      <c r="B67">
        <v>1</v>
      </c>
      <c r="C67" s="6" t="s">
        <v>93</v>
      </c>
      <c r="D67" s="6" t="s">
        <v>92</v>
      </c>
      <c r="J67" t="s">
        <v>151</v>
      </c>
      <c r="L67" t="s">
        <v>3</v>
      </c>
      <c r="M67" t="s">
        <v>151</v>
      </c>
      <c r="O67" t="str">
        <f t="shared" ref="O67:O116" si="1">IF(OR(J67="FP",M67="FP"),"FP",IF(AND(J67="TP",M67="TP"),"TP",""))</f>
        <v/>
      </c>
    </row>
    <row r="68" spans="1:15" ht="51" x14ac:dyDescent="0.2">
      <c r="A68">
        <v>1396705</v>
      </c>
      <c r="B68">
        <v>2</v>
      </c>
      <c r="C68" s="6" t="s">
        <v>94</v>
      </c>
      <c r="J68" t="s">
        <v>169</v>
      </c>
      <c r="M68" t="s">
        <v>169</v>
      </c>
      <c r="O68" t="str">
        <f t="shared" si="1"/>
        <v/>
      </c>
    </row>
    <row r="69" spans="1:15" ht="34" x14ac:dyDescent="0.2">
      <c r="A69">
        <v>1396705</v>
      </c>
      <c r="B69">
        <v>3</v>
      </c>
      <c r="C69" s="6" t="s">
        <v>95</v>
      </c>
      <c r="D69" s="6" t="s">
        <v>96</v>
      </c>
      <c r="J69" t="s">
        <v>146</v>
      </c>
      <c r="L69" t="s">
        <v>61</v>
      </c>
      <c r="M69" t="s">
        <v>146</v>
      </c>
      <c r="O69" t="str">
        <f t="shared" si="1"/>
        <v>TP</v>
      </c>
    </row>
    <row r="70" spans="1:15" ht="51" x14ac:dyDescent="0.2">
      <c r="A70">
        <v>1396705</v>
      </c>
      <c r="B70">
        <v>4</v>
      </c>
      <c r="C70" s="6" t="s">
        <v>97</v>
      </c>
      <c r="D70" s="6" t="s">
        <v>98</v>
      </c>
      <c r="J70" t="s">
        <v>146</v>
      </c>
      <c r="L70" t="s">
        <v>61</v>
      </c>
      <c r="M70" t="s">
        <v>146</v>
      </c>
      <c r="O70" t="str">
        <f t="shared" si="1"/>
        <v>TP</v>
      </c>
    </row>
    <row r="71" spans="1:15" ht="51" x14ac:dyDescent="0.2">
      <c r="A71">
        <v>1396705</v>
      </c>
      <c r="B71">
        <v>4</v>
      </c>
      <c r="C71" s="6" t="s">
        <v>97</v>
      </c>
      <c r="D71" s="6" t="s">
        <v>153</v>
      </c>
      <c r="J71" t="s">
        <v>146</v>
      </c>
      <c r="L71" t="s">
        <v>99</v>
      </c>
      <c r="M71" t="s">
        <v>146</v>
      </c>
      <c r="O71" t="str">
        <f t="shared" si="1"/>
        <v>TP</v>
      </c>
    </row>
    <row r="72" spans="1:15" ht="34" x14ac:dyDescent="0.2">
      <c r="A72">
        <v>1396705</v>
      </c>
      <c r="B72">
        <v>5</v>
      </c>
      <c r="C72" s="6" t="s">
        <v>100</v>
      </c>
      <c r="J72" t="s">
        <v>169</v>
      </c>
      <c r="M72" t="s">
        <v>169</v>
      </c>
      <c r="O72" t="str">
        <f t="shared" si="1"/>
        <v/>
      </c>
    </row>
    <row r="73" spans="1:15" ht="51" x14ac:dyDescent="0.2">
      <c r="A73">
        <v>1396705</v>
      </c>
      <c r="B73">
        <v>6</v>
      </c>
      <c r="C73" s="6" t="s">
        <v>101</v>
      </c>
      <c r="D73" s="6" t="s">
        <v>48</v>
      </c>
      <c r="J73" t="s">
        <v>38</v>
      </c>
      <c r="L73" t="s">
        <v>3</v>
      </c>
      <c r="M73" t="s">
        <v>38</v>
      </c>
      <c r="O73" t="str">
        <f t="shared" si="1"/>
        <v/>
      </c>
    </row>
    <row r="74" spans="1:15" ht="51" x14ac:dyDescent="0.2">
      <c r="A74">
        <v>1396705</v>
      </c>
      <c r="B74">
        <v>6</v>
      </c>
      <c r="C74" s="6" t="s">
        <v>101</v>
      </c>
      <c r="D74" s="6" t="s">
        <v>154</v>
      </c>
      <c r="J74" t="s">
        <v>146</v>
      </c>
      <c r="L74" t="s">
        <v>99</v>
      </c>
      <c r="M74" t="s">
        <v>146</v>
      </c>
      <c r="O74" t="str">
        <f t="shared" si="1"/>
        <v>TP</v>
      </c>
    </row>
    <row r="75" spans="1:15" ht="51" x14ac:dyDescent="0.2">
      <c r="A75">
        <v>1396705</v>
      </c>
      <c r="B75">
        <v>6</v>
      </c>
      <c r="C75" s="6" t="s">
        <v>101</v>
      </c>
      <c r="D75" s="6" t="s">
        <v>102</v>
      </c>
      <c r="I75" t="s">
        <v>10</v>
      </c>
      <c r="J75" t="s">
        <v>146</v>
      </c>
      <c r="L75" t="s">
        <v>3</v>
      </c>
      <c r="M75" t="s">
        <v>146</v>
      </c>
      <c r="O75" t="str">
        <f t="shared" si="1"/>
        <v>TP</v>
      </c>
    </row>
    <row r="76" spans="1:15" ht="51" x14ac:dyDescent="0.2">
      <c r="A76">
        <v>1396705</v>
      </c>
      <c r="B76">
        <v>6</v>
      </c>
      <c r="C76" s="6" t="s">
        <v>101</v>
      </c>
      <c r="D76" s="6" t="s">
        <v>103</v>
      </c>
      <c r="I76" t="s">
        <v>10</v>
      </c>
      <c r="J76" t="s">
        <v>146</v>
      </c>
      <c r="L76" t="s">
        <v>3</v>
      </c>
      <c r="M76" t="s">
        <v>146</v>
      </c>
      <c r="O76" t="str">
        <f t="shared" si="1"/>
        <v>TP</v>
      </c>
    </row>
    <row r="77" spans="1:15" ht="34" x14ac:dyDescent="0.2">
      <c r="A77">
        <v>1396705</v>
      </c>
      <c r="B77">
        <v>7</v>
      </c>
      <c r="C77" s="6" t="s">
        <v>104</v>
      </c>
      <c r="D77" s="6" t="s">
        <v>105</v>
      </c>
      <c r="J77" t="s">
        <v>38</v>
      </c>
      <c r="L77" t="s">
        <v>38</v>
      </c>
      <c r="M77" t="s">
        <v>38</v>
      </c>
      <c r="O77" t="str">
        <f t="shared" si="1"/>
        <v/>
      </c>
    </row>
    <row r="78" spans="1:15" ht="34" x14ac:dyDescent="0.2">
      <c r="A78">
        <v>1396705</v>
      </c>
      <c r="B78">
        <v>7</v>
      </c>
      <c r="C78" s="6" t="s">
        <v>104</v>
      </c>
      <c r="D78" s="6" t="s">
        <v>106</v>
      </c>
      <c r="E78" t="s">
        <v>159</v>
      </c>
      <c r="F78" t="s">
        <v>160</v>
      </c>
      <c r="I78" t="s">
        <v>10</v>
      </c>
      <c r="J78" t="s">
        <v>146</v>
      </c>
      <c r="L78" t="s">
        <v>3</v>
      </c>
      <c r="M78" t="s">
        <v>146</v>
      </c>
      <c r="O78" t="str">
        <f t="shared" si="1"/>
        <v>TP</v>
      </c>
    </row>
    <row r="79" spans="1:15" ht="34" x14ac:dyDescent="0.2">
      <c r="A79">
        <v>1396705</v>
      </c>
      <c r="B79">
        <v>7</v>
      </c>
      <c r="C79" s="6" t="s">
        <v>104</v>
      </c>
      <c r="D79" s="6" t="s">
        <v>107</v>
      </c>
      <c r="E79" t="s">
        <v>159</v>
      </c>
      <c r="F79" t="s">
        <v>160</v>
      </c>
      <c r="I79" t="s">
        <v>10</v>
      </c>
      <c r="J79" t="s">
        <v>146</v>
      </c>
      <c r="L79" t="s">
        <v>3</v>
      </c>
      <c r="M79" t="s">
        <v>146</v>
      </c>
      <c r="O79" t="str">
        <f t="shared" si="1"/>
        <v>TP</v>
      </c>
    </row>
    <row r="80" spans="1:15" ht="34" x14ac:dyDescent="0.2">
      <c r="A80">
        <v>1396705</v>
      </c>
      <c r="B80">
        <v>8</v>
      </c>
      <c r="C80" s="6" t="s">
        <v>108</v>
      </c>
      <c r="D80" s="6" t="s">
        <v>107</v>
      </c>
      <c r="I80" t="s">
        <v>10</v>
      </c>
      <c r="J80" t="s">
        <v>146</v>
      </c>
      <c r="K80" t="s">
        <v>103</v>
      </c>
      <c r="L80" t="s">
        <v>3</v>
      </c>
      <c r="M80" t="s">
        <v>146</v>
      </c>
      <c r="O80" t="str">
        <f t="shared" si="1"/>
        <v>TP</v>
      </c>
    </row>
    <row r="81" spans="1:15" ht="34" x14ac:dyDescent="0.2">
      <c r="A81">
        <v>1429720</v>
      </c>
      <c r="B81">
        <v>1</v>
      </c>
      <c r="C81" s="6" t="s">
        <v>109</v>
      </c>
      <c r="D81" s="6" t="s">
        <v>110</v>
      </c>
      <c r="I81" t="s">
        <v>10</v>
      </c>
      <c r="J81" t="s">
        <v>146</v>
      </c>
      <c r="L81" t="s">
        <v>44</v>
      </c>
      <c r="M81" t="s">
        <v>146</v>
      </c>
      <c r="O81" t="str">
        <f t="shared" si="1"/>
        <v>TP</v>
      </c>
    </row>
    <row r="82" spans="1:15" ht="34" x14ac:dyDescent="0.2">
      <c r="A82">
        <v>1429720</v>
      </c>
      <c r="B82">
        <v>2</v>
      </c>
      <c r="C82" s="6" t="s">
        <v>111</v>
      </c>
      <c r="D82" s="6" t="s">
        <v>112</v>
      </c>
      <c r="E82" t="s">
        <v>159</v>
      </c>
      <c r="F82" t="s">
        <v>161</v>
      </c>
      <c r="I82" t="s">
        <v>10</v>
      </c>
      <c r="J82" t="s">
        <v>38</v>
      </c>
      <c r="L82" t="s">
        <v>44</v>
      </c>
      <c r="M82" t="s">
        <v>38</v>
      </c>
      <c r="O82" t="str">
        <f t="shared" si="1"/>
        <v/>
      </c>
    </row>
    <row r="83" spans="1:15" ht="34" x14ac:dyDescent="0.2">
      <c r="A83">
        <v>1429720</v>
      </c>
      <c r="B83">
        <v>2</v>
      </c>
      <c r="C83" s="6" t="s">
        <v>111</v>
      </c>
      <c r="D83" s="6" t="s">
        <v>113</v>
      </c>
      <c r="E83" t="s">
        <v>159</v>
      </c>
      <c r="F83" t="s">
        <v>161</v>
      </c>
      <c r="I83" t="s">
        <v>10</v>
      </c>
      <c r="J83" t="s">
        <v>38</v>
      </c>
      <c r="L83" t="s">
        <v>44</v>
      </c>
      <c r="M83" t="s">
        <v>38</v>
      </c>
      <c r="N83" t="s">
        <v>156</v>
      </c>
      <c r="O83" t="str">
        <f t="shared" si="1"/>
        <v/>
      </c>
    </row>
    <row r="84" spans="1:15" ht="51" x14ac:dyDescent="0.2">
      <c r="A84">
        <v>1429720</v>
      </c>
      <c r="B84">
        <v>3</v>
      </c>
      <c r="C84" s="6" t="s">
        <v>114</v>
      </c>
      <c r="J84" t="s">
        <v>169</v>
      </c>
      <c r="M84" t="s">
        <v>169</v>
      </c>
      <c r="O84" t="str">
        <f t="shared" si="1"/>
        <v/>
      </c>
    </row>
    <row r="85" spans="1:15" ht="51" x14ac:dyDescent="0.2">
      <c r="A85">
        <v>1429720</v>
      </c>
      <c r="B85">
        <v>4</v>
      </c>
      <c r="C85" s="6" t="s">
        <v>115</v>
      </c>
      <c r="D85" s="6" t="s">
        <v>116</v>
      </c>
      <c r="I85" t="s">
        <v>10</v>
      </c>
      <c r="J85" t="s">
        <v>172</v>
      </c>
      <c r="L85" t="s">
        <v>44</v>
      </c>
      <c r="M85" t="s">
        <v>172</v>
      </c>
      <c r="O85" t="str">
        <f t="shared" si="1"/>
        <v/>
      </c>
    </row>
    <row r="86" spans="1:15" ht="51" x14ac:dyDescent="0.2">
      <c r="A86">
        <v>1429720</v>
      </c>
      <c r="B86">
        <v>4</v>
      </c>
      <c r="C86" s="6" t="s">
        <v>115</v>
      </c>
      <c r="D86" s="6" t="s">
        <v>119</v>
      </c>
      <c r="I86" t="s">
        <v>10</v>
      </c>
      <c r="J86" t="s">
        <v>172</v>
      </c>
      <c r="L86" t="s">
        <v>44</v>
      </c>
      <c r="M86" t="s">
        <v>172</v>
      </c>
      <c r="O86" t="str">
        <f t="shared" si="1"/>
        <v/>
      </c>
    </row>
    <row r="87" spans="1:15" ht="68" x14ac:dyDescent="0.2">
      <c r="A87">
        <v>1429720</v>
      </c>
      <c r="B87">
        <v>5</v>
      </c>
      <c r="C87" s="6" t="s">
        <v>120</v>
      </c>
      <c r="D87" s="6" t="s">
        <v>121</v>
      </c>
      <c r="G87" t="s">
        <v>117</v>
      </c>
      <c r="H87" t="s">
        <v>118</v>
      </c>
      <c r="I87" t="s">
        <v>8</v>
      </c>
      <c r="J87" t="s">
        <v>172</v>
      </c>
      <c r="L87" t="s">
        <v>44</v>
      </c>
      <c r="M87" t="s">
        <v>172</v>
      </c>
      <c r="O87" t="str">
        <f t="shared" si="1"/>
        <v/>
      </c>
    </row>
    <row r="88" spans="1:15" ht="68" x14ac:dyDescent="0.2">
      <c r="A88">
        <v>1429720</v>
      </c>
      <c r="B88">
        <v>5</v>
      </c>
      <c r="C88" s="6" t="s">
        <v>120</v>
      </c>
      <c r="D88" s="6" t="s">
        <v>122</v>
      </c>
      <c r="J88" t="s">
        <v>146</v>
      </c>
      <c r="L88" t="s">
        <v>61</v>
      </c>
      <c r="M88" t="s">
        <v>146</v>
      </c>
      <c r="O88" t="str">
        <f t="shared" si="1"/>
        <v>TP</v>
      </c>
    </row>
    <row r="89" spans="1:15" ht="17" x14ac:dyDescent="0.2">
      <c r="A89">
        <v>1429720</v>
      </c>
      <c r="B89">
        <v>6</v>
      </c>
      <c r="C89" s="6" t="s">
        <v>123</v>
      </c>
      <c r="J89" t="s">
        <v>169</v>
      </c>
      <c r="M89" t="s">
        <v>169</v>
      </c>
      <c r="O89" t="str">
        <f t="shared" si="1"/>
        <v/>
      </c>
    </row>
    <row r="90" spans="1:15" ht="34" x14ac:dyDescent="0.2">
      <c r="A90">
        <v>1429720</v>
      </c>
      <c r="B90">
        <v>7</v>
      </c>
      <c r="C90" s="6" t="s">
        <v>124</v>
      </c>
      <c r="D90" s="6" t="s">
        <v>119</v>
      </c>
      <c r="I90" t="s">
        <v>10</v>
      </c>
      <c r="J90" s="8" t="s">
        <v>172</v>
      </c>
      <c r="L90" t="s">
        <v>44</v>
      </c>
      <c r="M90" s="8" t="s">
        <v>172</v>
      </c>
      <c r="O90" t="str">
        <f t="shared" si="1"/>
        <v/>
      </c>
    </row>
    <row r="91" spans="1:15" ht="34" x14ac:dyDescent="0.2">
      <c r="A91">
        <v>1429720</v>
      </c>
      <c r="B91">
        <v>7</v>
      </c>
      <c r="C91" s="6" t="s">
        <v>124</v>
      </c>
      <c r="D91" s="6" t="s">
        <v>125</v>
      </c>
      <c r="I91" t="s">
        <v>10</v>
      </c>
      <c r="J91" s="8" t="s">
        <v>172</v>
      </c>
      <c r="L91" t="s">
        <v>44</v>
      </c>
      <c r="M91" s="8" t="s">
        <v>172</v>
      </c>
      <c r="O91" t="str">
        <f t="shared" si="1"/>
        <v/>
      </c>
    </row>
    <row r="92" spans="1:15" ht="34" x14ac:dyDescent="0.2">
      <c r="A92">
        <v>1429720</v>
      </c>
      <c r="B92">
        <v>7</v>
      </c>
      <c r="C92" s="6" t="s">
        <v>124</v>
      </c>
      <c r="D92" s="6" t="s">
        <v>126</v>
      </c>
      <c r="G92" t="s">
        <v>127</v>
      </c>
      <c r="H92" t="s">
        <v>128</v>
      </c>
      <c r="I92" t="s">
        <v>8</v>
      </c>
      <c r="J92" s="8" t="s">
        <v>172</v>
      </c>
      <c r="L92" t="s">
        <v>44</v>
      </c>
      <c r="M92" s="8" t="s">
        <v>172</v>
      </c>
      <c r="O92" t="str">
        <f t="shared" si="1"/>
        <v/>
      </c>
    </row>
    <row r="93" spans="1:15" ht="85" x14ac:dyDescent="0.2">
      <c r="A93">
        <v>1429720</v>
      </c>
      <c r="B93">
        <v>8</v>
      </c>
      <c r="C93" s="6" t="s">
        <v>129</v>
      </c>
      <c r="D93" s="6" t="s">
        <v>130</v>
      </c>
      <c r="I93" t="s">
        <v>10</v>
      </c>
      <c r="J93" s="8" t="s">
        <v>172</v>
      </c>
      <c r="L93" t="s">
        <v>44</v>
      </c>
      <c r="M93" s="8" t="s">
        <v>172</v>
      </c>
      <c r="O93" t="str">
        <f t="shared" si="1"/>
        <v/>
      </c>
    </row>
    <row r="94" spans="1:15" ht="85" x14ac:dyDescent="0.2">
      <c r="A94">
        <v>1429720</v>
      </c>
      <c r="B94">
        <v>8</v>
      </c>
      <c r="C94" s="6" t="s">
        <v>129</v>
      </c>
      <c r="D94" s="6" t="s">
        <v>131</v>
      </c>
      <c r="I94" t="s">
        <v>10</v>
      </c>
      <c r="J94" s="8" t="s">
        <v>172</v>
      </c>
      <c r="L94" t="s">
        <v>44</v>
      </c>
      <c r="M94" s="8" t="s">
        <v>172</v>
      </c>
      <c r="O94" t="str">
        <f t="shared" si="1"/>
        <v/>
      </c>
    </row>
    <row r="95" spans="1:15" ht="85" x14ac:dyDescent="0.2">
      <c r="A95">
        <v>1429720</v>
      </c>
      <c r="B95">
        <v>8</v>
      </c>
      <c r="C95" s="6" t="s">
        <v>129</v>
      </c>
      <c r="D95" s="6" t="s">
        <v>132</v>
      </c>
      <c r="G95" t="s">
        <v>127</v>
      </c>
      <c r="H95" t="s">
        <v>128</v>
      </c>
      <c r="I95" t="s">
        <v>8</v>
      </c>
      <c r="J95" s="8" t="s">
        <v>172</v>
      </c>
      <c r="L95" t="s">
        <v>44</v>
      </c>
      <c r="M95" s="8" t="s">
        <v>172</v>
      </c>
      <c r="O95" t="str">
        <f t="shared" si="1"/>
        <v/>
      </c>
    </row>
    <row r="96" spans="1:15" ht="85" x14ac:dyDescent="0.2">
      <c r="A96">
        <v>1429720</v>
      </c>
      <c r="B96">
        <v>8</v>
      </c>
      <c r="C96" s="6" t="s">
        <v>129</v>
      </c>
      <c r="D96" s="6" t="s">
        <v>133</v>
      </c>
      <c r="J96" t="s">
        <v>146</v>
      </c>
      <c r="L96" t="s">
        <v>99</v>
      </c>
      <c r="M96" s="8" t="s">
        <v>146</v>
      </c>
      <c r="O96" t="str">
        <f t="shared" si="1"/>
        <v>TP</v>
      </c>
    </row>
    <row r="97" spans="1:15" ht="85" x14ac:dyDescent="0.2">
      <c r="A97">
        <v>1429720</v>
      </c>
      <c r="B97">
        <v>8</v>
      </c>
      <c r="C97" s="6" t="s">
        <v>129</v>
      </c>
      <c r="D97" s="6" t="s">
        <v>134</v>
      </c>
      <c r="J97" t="s">
        <v>146</v>
      </c>
      <c r="L97" t="s">
        <v>99</v>
      </c>
      <c r="M97" s="8" t="s">
        <v>146</v>
      </c>
      <c r="O97" t="str">
        <f t="shared" si="1"/>
        <v>TP</v>
      </c>
    </row>
    <row r="98" spans="1:15" ht="85" x14ac:dyDescent="0.2">
      <c r="A98">
        <v>1429720</v>
      </c>
      <c r="B98">
        <v>8</v>
      </c>
      <c r="C98" s="6" t="s">
        <v>129</v>
      </c>
      <c r="D98" s="6" t="s">
        <v>135</v>
      </c>
      <c r="J98" t="s">
        <v>146</v>
      </c>
      <c r="L98" t="s">
        <v>99</v>
      </c>
      <c r="M98" s="8" t="s">
        <v>146</v>
      </c>
      <c r="O98" t="str">
        <f t="shared" si="1"/>
        <v>TP</v>
      </c>
    </row>
    <row r="99" spans="1:15" ht="51" x14ac:dyDescent="0.2">
      <c r="A99">
        <v>1429720</v>
      </c>
      <c r="B99">
        <v>9</v>
      </c>
      <c r="C99" s="6" t="s">
        <v>136</v>
      </c>
      <c r="D99" s="6" t="s">
        <v>119</v>
      </c>
      <c r="I99" t="s">
        <v>10</v>
      </c>
      <c r="J99" s="8" t="s">
        <v>172</v>
      </c>
      <c r="L99" t="s">
        <v>44</v>
      </c>
      <c r="M99" s="8" t="s">
        <v>172</v>
      </c>
      <c r="O99" t="str">
        <f t="shared" si="1"/>
        <v/>
      </c>
    </row>
    <row r="100" spans="1:15" ht="51" x14ac:dyDescent="0.2">
      <c r="A100">
        <v>1429720</v>
      </c>
      <c r="B100">
        <v>9</v>
      </c>
      <c r="C100" s="6" t="s">
        <v>136</v>
      </c>
      <c r="D100" s="6" t="s">
        <v>125</v>
      </c>
      <c r="I100" t="s">
        <v>10</v>
      </c>
      <c r="J100" s="8" t="s">
        <v>172</v>
      </c>
      <c r="L100" t="s">
        <v>44</v>
      </c>
      <c r="M100" s="8" t="s">
        <v>172</v>
      </c>
      <c r="O100" t="str">
        <f t="shared" si="1"/>
        <v/>
      </c>
    </row>
    <row r="101" spans="1:15" ht="51" x14ac:dyDescent="0.2">
      <c r="A101">
        <v>1429720</v>
      </c>
      <c r="B101">
        <v>9</v>
      </c>
      <c r="C101" s="6" t="s">
        <v>136</v>
      </c>
      <c r="D101" s="6" t="s">
        <v>131</v>
      </c>
      <c r="E101" t="s">
        <v>159</v>
      </c>
      <c r="F101" t="s">
        <v>162</v>
      </c>
      <c r="I101" t="s">
        <v>10</v>
      </c>
      <c r="J101" s="8" t="s">
        <v>172</v>
      </c>
      <c r="L101" t="s">
        <v>44</v>
      </c>
      <c r="M101" s="8" t="s">
        <v>172</v>
      </c>
      <c r="O101" t="str">
        <f t="shared" si="1"/>
        <v/>
      </c>
    </row>
    <row r="102" spans="1:15" ht="51" x14ac:dyDescent="0.2">
      <c r="A102">
        <v>1429720</v>
      </c>
      <c r="B102">
        <v>9</v>
      </c>
      <c r="C102" s="6" t="s">
        <v>136</v>
      </c>
      <c r="D102" s="6" t="s">
        <v>130</v>
      </c>
      <c r="E102" t="s">
        <v>159</v>
      </c>
      <c r="F102" t="s">
        <v>162</v>
      </c>
      <c r="I102" t="s">
        <v>10</v>
      </c>
      <c r="J102" s="8" t="s">
        <v>172</v>
      </c>
      <c r="L102" t="s">
        <v>44</v>
      </c>
      <c r="M102" s="8" t="s">
        <v>172</v>
      </c>
      <c r="O102" t="str">
        <f t="shared" si="1"/>
        <v/>
      </c>
    </row>
    <row r="103" spans="1:15" ht="51" x14ac:dyDescent="0.2">
      <c r="A103">
        <v>1429720</v>
      </c>
      <c r="B103">
        <v>9</v>
      </c>
      <c r="C103" s="6" t="s">
        <v>136</v>
      </c>
      <c r="D103" s="6" t="s">
        <v>132</v>
      </c>
      <c r="E103" t="s">
        <v>159</v>
      </c>
      <c r="F103" t="s">
        <v>162</v>
      </c>
      <c r="G103" t="s">
        <v>127</v>
      </c>
      <c r="H103" t="s">
        <v>128</v>
      </c>
      <c r="I103" t="s">
        <v>8</v>
      </c>
      <c r="J103" s="8" t="s">
        <v>172</v>
      </c>
      <c r="L103" t="s">
        <v>44</v>
      </c>
      <c r="M103" s="8" t="s">
        <v>172</v>
      </c>
      <c r="O103" t="str">
        <f t="shared" si="1"/>
        <v/>
      </c>
    </row>
    <row r="104" spans="1:15" ht="51" x14ac:dyDescent="0.2">
      <c r="A104">
        <v>1429720</v>
      </c>
      <c r="B104">
        <v>9</v>
      </c>
      <c r="C104" s="6" t="s">
        <v>136</v>
      </c>
      <c r="D104" s="6" t="s">
        <v>126</v>
      </c>
      <c r="E104" t="s">
        <v>159</v>
      </c>
      <c r="F104" t="s">
        <v>162</v>
      </c>
      <c r="G104" t="s">
        <v>127</v>
      </c>
      <c r="H104" t="s">
        <v>128</v>
      </c>
      <c r="I104" t="s">
        <v>8</v>
      </c>
      <c r="J104" s="8" t="s">
        <v>172</v>
      </c>
      <c r="L104" t="s">
        <v>44</v>
      </c>
      <c r="M104" s="8" t="s">
        <v>172</v>
      </c>
      <c r="O104" t="str">
        <f t="shared" si="1"/>
        <v/>
      </c>
    </row>
    <row r="105" spans="1:15" ht="34" x14ac:dyDescent="0.2">
      <c r="A105">
        <v>1429720</v>
      </c>
      <c r="B105">
        <v>10</v>
      </c>
      <c r="C105" s="6" t="s">
        <v>137</v>
      </c>
      <c r="D105" s="6" t="s">
        <v>138</v>
      </c>
      <c r="E105" t="s">
        <v>159</v>
      </c>
      <c r="F105" t="s">
        <v>163</v>
      </c>
      <c r="I105" t="s">
        <v>10</v>
      </c>
      <c r="J105" s="8" t="s">
        <v>172</v>
      </c>
      <c r="L105" t="s">
        <v>44</v>
      </c>
      <c r="M105" s="8" t="s">
        <v>172</v>
      </c>
      <c r="O105" t="str">
        <f t="shared" si="1"/>
        <v/>
      </c>
    </row>
    <row r="106" spans="1:15" ht="34" x14ac:dyDescent="0.2">
      <c r="A106">
        <v>1429720</v>
      </c>
      <c r="B106">
        <v>10</v>
      </c>
      <c r="C106" s="6" t="s">
        <v>137</v>
      </c>
      <c r="D106" s="6" t="s">
        <v>157</v>
      </c>
      <c r="E106" t="s">
        <v>159</v>
      </c>
      <c r="F106" t="s">
        <v>163</v>
      </c>
      <c r="I106" t="s">
        <v>10</v>
      </c>
      <c r="J106" s="8" t="s">
        <v>172</v>
      </c>
      <c r="L106" t="s">
        <v>44</v>
      </c>
      <c r="M106" s="8" t="s">
        <v>172</v>
      </c>
      <c r="O106" t="str">
        <f t="shared" si="1"/>
        <v/>
      </c>
    </row>
    <row r="107" spans="1:15" ht="34" x14ac:dyDescent="0.2">
      <c r="A107">
        <v>1429720</v>
      </c>
      <c r="B107">
        <v>10</v>
      </c>
      <c r="C107" s="6" t="s">
        <v>137</v>
      </c>
      <c r="D107" s="6" t="s">
        <v>139</v>
      </c>
      <c r="J107" t="s">
        <v>146</v>
      </c>
      <c r="L107" t="s">
        <v>44</v>
      </c>
      <c r="M107" s="8" t="s">
        <v>146</v>
      </c>
      <c r="O107" t="str">
        <f t="shared" si="1"/>
        <v>TP</v>
      </c>
    </row>
    <row r="108" spans="1:15" ht="34" x14ac:dyDescent="0.2">
      <c r="A108">
        <v>1429720</v>
      </c>
      <c r="B108">
        <v>11</v>
      </c>
      <c r="C108" s="6" t="s">
        <v>140</v>
      </c>
      <c r="D108" s="6" t="s">
        <v>141</v>
      </c>
      <c r="I108" t="s">
        <v>10</v>
      </c>
      <c r="J108" t="s">
        <v>172</v>
      </c>
      <c r="L108" t="s">
        <v>44</v>
      </c>
      <c r="M108" s="8" t="s">
        <v>172</v>
      </c>
      <c r="O108" t="str">
        <f t="shared" si="1"/>
        <v/>
      </c>
    </row>
    <row r="109" spans="1:15" ht="34" x14ac:dyDescent="0.2">
      <c r="A109">
        <v>1429720</v>
      </c>
      <c r="B109">
        <v>11</v>
      </c>
      <c r="C109" s="6" t="s">
        <v>140</v>
      </c>
      <c r="D109" s="6" t="s">
        <v>139</v>
      </c>
      <c r="J109" t="s">
        <v>146</v>
      </c>
      <c r="L109" t="s">
        <v>44</v>
      </c>
      <c r="M109" s="8" t="s">
        <v>146</v>
      </c>
      <c r="O109" t="str">
        <f t="shared" si="1"/>
        <v>TP</v>
      </c>
    </row>
    <row r="110" spans="1:15" ht="34" x14ac:dyDescent="0.2">
      <c r="A110">
        <v>1429720</v>
      </c>
      <c r="B110">
        <v>11</v>
      </c>
      <c r="C110" s="6" t="s">
        <v>140</v>
      </c>
      <c r="D110" s="6" t="s">
        <v>130</v>
      </c>
      <c r="I110" t="s">
        <v>10</v>
      </c>
      <c r="J110" s="8" t="s">
        <v>172</v>
      </c>
      <c r="L110" t="s">
        <v>44</v>
      </c>
      <c r="M110" s="8" t="s">
        <v>172</v>
      </c>
      <c r="O110" t="str">
        <f t="shared" si="1"/>
        <v/>
      </c>
    </row>
    <row r="111" spans="1:15" ht="34" x14ac:dyDescent="0.2">
      <c r="A111">
        <v>1429720</v>
      </c>
      <c r="B111">
        <v>12</v>
      </c>
      <c r="C111" s="6" t="s">
        <v>142</v>
      </c>
      <c r="D111" s="6" t="s">
        <v>143</v>
      </c>
      <c r="J111" t="s">
        <v>146</v>
      </c>
      <c r="L111" t="s">
        <v>44</v>
      </c>
      <c r="M111" s="8" t="s">
        <v>146</v>
      </c>
      <c r="O111" t="str">
        <f t="shared" si="1"/>
        <v>TP</v>
      </c>
    </row>
    <row r="112" spans="1:15" ht="34" x14ac:dyDescent="0.2">
      <c r="A112">
        <v>1429720</v>
      </c>
      <c r="B112">
        <v>12</v>
      </c>
      <c r="C112" s="6" t="s">
        <v>142</v>
      </c>
      <c r="D112" s="6" t="s">
        <v>130</v>
      </c>
      <c r="E112" t="s">
        <v>159</v>
      </c>
      <c r="F112" t="s">
        <v>164</v>
      </c>
      <c r="I112" t="s">
        <v>10</v>
      </c>
      <c r="J112" s="8" t="s">
        <v>172</v>
      </c>
      <c r="L112" t="s">
        <v>44</v>
      </c>
      <c r="M112" s="8" t="s">
        <v>172</v>
      </c>
      <c r="O112" t="str">
        <f t="shared" si="1"/>
        <v/>
      </c>
    </row>
    <row r="113" spans="1:16" ht="34" x14ac:dyDescent="0.2">
      <c r="A113">
        <v>1429720</v>
      </c>
      <c r="B113">
        <v>12</v>
      </c>
      <c r="C113" s="6" t="s">
        <v>142</v>
      </c>
      <c r="D113" s="6" t="s">
        <v>139</v>
      </c>
      <c r="J113" t="s">
        <v>146</v>
      </c>
      <c r="L113" t="s">
        <v>44</v>
      </c>
      <c r="M113" s="8" t="s">
        <v>146</v>
      </c>
      <c r="O113" t="str">
        <f t="shared" si="1"/>
        <v>TP</v>
      </c>
    </row>
    <row r="114" spans="1:16" ht="34" x14ac:dyDescent="0.2">
      <c r="A114">
        <v>1429720</v>
      </c>
      <c r="B114">
        <v>12</v>
      </c>
      <c r="C114" s="6" t="s">
        <v>142</v>
      </c>
      <c r="D114" s="6" t="s">
        <v>119</v>
      </c>
      <c r="E114" t="s">
        <v>159</v>
      </c>
      <c r="F114" t="s">
        <v>164</v>
      </c>
      <c r="I114" t="s">
        <v>10</v>
      </c>
      <c r="J114" s="8" t="s">
        <v>172</v>
      </c>
      <c r="L114" t="s">
        <v>44</v>
      </c>
      <c r="M114" s="8" t="s">
        <v>172</v>
      </c>
      <c r="O114" t="str">
        <f t="shared" si="1"/>
        <v/>
      </c>
    </row>
    <row r="115" spans="1:16" ht="34" x14ac:dyDescent="0.2">
      <c r="A115">
        <v>1429720</v>
      </c>
      <c r="B115">
        <v>13</v>
      </c>
      <c r="C115" s="6" t="s">
        <v>144</v>
      </c>
      <c r="J115" t="s">
        <v>169</v>
      </c>
      <c r="M115" s="8" t="s">
        <v>169</v>
      </c>
      <c r="O115" t="str">
        <f t="shared" si="1"/>
        <v/>
      </c>
    </row>
    <row r="116" spans="1:16" ht="51" x14ac:dyDescent="0.2">
      <c r="A116">
        <v>1429720</v>
      </c>
      <c r="B116">
        <v>14</v>
      </c>
      <c r="C116" s="6" t="s">
        <v>145</v>
      </c>
      <c r="J116" s="8" t="s">
        <v>169</v>
      </c>
      <c r="K116" t="s">
        <v>119</v>
      </c>
      <c r="M116" s="8" t="s">
        <v>169</v>
      </c>
      <c r="O116" t="str">
        <f t="shared" si="1"/>
        <v/>
      </c>
      <c r="P116" t="s">
        <v>1974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981F7-4371-774F-B247-52430A6EEC43}">
  <dimension ref="A1:M381"/>
  <sheetViews>
    <sheetView topLeftCell="A218" zoomScale="91" workbookViewId="0">
      <selection activeCell="D7" sqref="D7"/>
    </sheetView>
  </sheetViews>
  <sheetFormatPr baseColWidth="10" defaultRowHeight="16" x14ac:dyDescent="0.2"/>
  <cols>
    <col min="3" max="3" width="66.6640625" customWidth="1"/>
    <col min="4" max="4" width="36.6640625" customWidth="1"/>
    <col min="5" max="5" width="21.1640625" customWidth="1"/>
    <col min="7" max="7" width="18.5" customWidth="1"/>
    <col min="8" max="8" width="34.1640625" hidden="1" customWidth="1"/>
    <col min="9" max="9" width="49.33203125" hidden="1" customWidth="1"/>
    <col min="10" max="10" width="45.1640625" hidden="1" customWidth="1"/>
    <col min="11" max="11" width="18.33203125" customWidth="1"/>
  </cols>
  <sheetData>
    <row r="1" spans="1:12" x14ac:dyDescent="0.2">
      <c r="A1" s="1" t="s">
        <v>28</v>
      </c>
      <c r="B1" s="1" t="s">
        <v>29</v>
      </c>
      <c r="C1" s="1" t="s">
        <v>30</v>
      </c>
      <c r="D1" s="1" t="s">
        <v>31</v>
      </c>
      <c r="E1" s="1" t="s">
        <v>170</v>
      </c>
      <c r="F1" s="1" t="s">
        <v>32</v>
      </c>
      <c r="G1" s="1" t="s">
        <v>171</v>
      </c>
      <c r="H1" s="1" t="s">
        <v>33</v>
      </c>
      <c r="I1" s="1" t="s">
        <v>34</v>
      </c>
      <c r="J1" s="1" t="s">
        <v>35</v>
      </c>
      <c r="K1" s="2" t="s">
        <v>155</v>
      </c>
      <c r="L1" s="2" t="s">
        <v>567</v>
      </c>
    </row>
    <row r="2" spans="1:12" x14ac:dyDescent="0.2">
      <c r="A2">
        <v>1573418</v>
      </c>
      <c r="B2">
        <v>0</v>
      </c>
      <c r="C2" t="s">
        <v>173</v>
      </c>
      <c r="E2" s="9" t="s">
        <v>169</v>
      </c>
      <c r="G2" s="9" t="s">
        <v>169</v>
      </c>
      <c r="J2" t="s">
        <v>169</v>
      </c>
      <c r="K2" s="9"/>
      <c r="L2" t="str">
        <f>IF(OR(E2="FP",G2="FP"),"FP",IF(AND(E2="TP",E2="TP"),"TP",""))</f>
        <v/>
      </c>
    </row>
    <row r="3" spans="1:12" x14ac:dyDescent="0.2">
      <c r="A3">
        <v>1573418</v>
      </c>
      <c r="B3">
        <v>1</v>
      </c>
      <c r="C3" t="s">
        <v>174</v>
      </c>
      <c r="E3" s="9" t="s">
        <v>169</v>
      </c>
      <c r="G3" s="9" t="s">
        <v>169</v>
      </c>
      <c r="J3" t="s">
        <v>169</v>
      </c>
      <c r="K3" s="9"/>
      <c r="L3" t="str">
        <f t="shared" ref="L3:L66" si="0">IF(OR(E3="FP",G3="FP"),"FP",IF(AND(E3="TP",E3="TP"),"TP",""))</f>
        <v/>
      </c>
    </row>
    <row r="4" spans="1:12" x14ac:dyDescent="0.2">
      <c r="A4">
        <v>1573418</v>
      </c>
      <c r="B4">
        <v>2</v>
      </c>
      <c r="C4" t="s">
        <v>175</v>
      </c>
      <c r="E4" s="9" t="s">
        <v>169</v>
      </c>
      <c r="G4" s="9" t="s">
        <v>169</v>
      </c>
      <c r="J4" t="s">
        <v>169</v>
      </c>
      <c r="K4" s="9"/>
      <c r="L4" t="str">
        <f t="shared" si="0"/>
        <v/>
      </c>
    </row>
    <row r="5" spans="1:12" x14ac:dyDescent="0.2">
      <c r="A5">
        <v>1573418</v>
      </c>
      <c r="B5">
        <v>3</v>
      </c>
      <c r="C5" t="s">
        <v>176</v>
      </c>
      <c r="E5" s="9" t="s">
        <v>169</v>
      </c>
      <c r="G5" s="9" t="s">
        <v>169</v>
      </c>
      <c r="J5" t="s">
        <v>169</v>
      </c>
      <c r="K5" s="9"/>
      <c r="L5" t="str">
        <f t="shared" si="0"/>
        <v/>
      </c>
    </row>
    <row r="6" spans="1:12" x14ac:dyDescent="0.2">
      <c r="A6">
        <v>1573418</v>
      </c>
      <c r="B6">
        <v>4</v>
      </c>
      <c r="C6" t="s">
        <v>177</v>
      </c>
      <c r="D6" t="s">
        <v>178</v>
      </c>
      <c r="E6" s="9" t="s">
        <v>146</v>
      </c>
      <c r="F6" t="s">
        <v>3</v>
      </c>
      <c r="G6" s="9" t="s">
        <v>146</v>
      </c>
      <c r="J6" t="s">
        <v>10</v>
      </c>
      <c r="K6" s="9"/>
      <c r="L6" t="str">
        <f>IF(OR(E6="FP",G6="FP"),"FP",IF(AND(E6="TP",E6="TP"),"TP",""))</f>
        <v>TP</v>
      </c>
    </row>
    <row r="7" spans="1:12" x14ac:dyDescent="0.2">
      <c r="A7">
        <v>1573418</v>
      </c>
      <c r="B7">
        <v>4</v>
      </c>
      <c r="C7" t="s">
        <v>177</v>
      </c>
      <c r="D7" t="s">
        <v>504</v>
      </c>
      <c r="E7" s="9" t="s">
        <v>146</v>
      </c>
      <c r="F7" t="s">
        <v>3</v>
      </c>
      <c r="G7" s="9" t="s">
        <v>146</v>
      </c>
      <c r="J7" t="s">
        <v>10</v>
      </c>
      <c r="K7" s="9"/>
      <c r="L7" t="str">
        <f t="shared" si="0"/>
        <v>TP</v>
      </c>
    </row>
    <row r="8" spans="1:12" x14ac:dyDescent="0.2">
      <c r="A8">
        <v>1573418</v>
      </c>
      <c r="B8">
        <v>4</v>
      </c>
      <c r="C8" t="s">
        <v>177</v>
      </c>
      <c r="D8" t="s">
        <v>76</v>
      </c>
      <c r="E8" s="9" t="s">
        <v>146</v>
      </c>
      <c r="F8" t="s">
        <v>3</v>
      </c>
      <c r="G8" s="9" t="s">
        <v>146</v>
      </c>
      <c r="H8" t="s">
        <v>77</v>
      </c>
      <c r="I8" t="s">
        <v>76</v>
      </c>
      <c r="J8" t="s">
        <v>8</v>
      </c>
      <c r="K8" s="9"/>
      <c r="L8" t="str">
        <f t="shared" si="0"/>
        <v>TP</v>
      </c>
    </row>
    <row r="9" spans="1:12" x14ac:dyDescent="0.2">
      <c r="A9">
        <v>1573418</v>
      </c>
      <c r="B9">
        <v>4</v>
      </c>
      <c r="C9" t="s">
        <v>177</v>
      </c>
      <c r="D9" t="s">
        <v>64</v>
      </c>
      <c r="E9" s="9" t="s">
        <v>146</v>
      </c>
      <c r="F9" t="s">
        <v>3</v>
      </c>
      <c r="G9" s="9" t="s">
        <v>146</v>
      </c>
      <c r="H9" t="s">
        <v>65</v>
      </c>
      <c r="I9" t="s">
        <v>64</v>
      </c>
      <c r="J9" t="s">
        <v>8</v>
      </c>
      <c r="K9" s="9"/>
      <c r="L9" t="str">
        <f t="shared" si="0"/>
        <v>TP</v>
      </c>
    </row>
    <row r="10" spans="1:12" x14ac:dyDescent="0.2">
      <c r="A10">
        <v>1573418</v>
      </c>
      <c r="B10">
        <v>4</v>
      </c>
      <c r="C10" t="s">
        <v>177</v>
      </c>
      <c r="D10" t="s">
        <v>72</v>
      </c>
      <c r="E10" s="9" t="s">
        <v>146</v>
      </c>
      <c r="F10" t="s">
        <v>3</v>
      </c>
      <c r="G10" s="9" t="s">
        <v>146</v>
      </c>
      <c r="H10" t="s">
        <v>73</v>
      </c>
      <c r="I10" t="s">
        <v>72</v>
      </c>
      <c r="J10" t="s">
        <v>8</v>
      </c>
      <c r="K10" s="9"/>
      <c r="L10" t="str">
        <f t="shared" si="0"/>
        <v>TP</v>
      </c>
    </row>
    <row r="11" spans="1:12" x14ac:dyDescent="0.2">
      <c r="A11">
        <v>1573418</v>
      </c>
      <c r="B11">
        <v>4</v>
      </c>
      <c r="C11" t="s">
        <v>177</v>
      </c>
      <c r="D11" t="s">
        <v>85</v>
      </c>
      <c r="E11" s="9" t="s">
        <v>146</v>
      </c>
      <c r="F11" t="s">
        <v>3</v>
      </c>
      <c r="G11" s="9" t="s">
        <v>146</v>
      </c>
      <c r="H11" t="s">
        <v>86</v>
      </c>
      <c r="I11" t="s">
        <v>85</v>
      </c>
      <c r="J11" t="s">
        <v>8</v>
      </c>
      <c r="K11" s="9"/>
      <c r="L11" t="str">
        <f t="shared" si="0"/>
        <v>TP</v>
      </c>
    </row>
    <row r="12" spans="1:12" x14ac:dyDescent="0.2">
      <c r="A12">
        <v>1573418</v>
      </c>
      <c r="B12">
        <v>4</v>
      </c>
      <c r="C12" t="s">
        <v>177</v>
      </c>
      <c r="D12" t="s">
        <v>74</v>
      </c>
      <c r="E12" s="9" t="s">
        <v>146</v>
      </c>
      <c r="F12" t="s">
        <v>3</v>
      </c>
      <c r="G12" s="9" t="s">
        <v>146</v>
      </c>
      <c r="H12" t="s">
        <v>75</v>
      </c>
      <c r="I12" t="s">
        <v>74</v>
      </c>
      <c r="J12" t="s">
        <v>8</v>
      </c>
      <c r="K12" s="9"/>
      <c r="L12" t="str">
        <f t="shared" si="0"/>
        <v>TP</v>
      </c>
    </row>
    <row r="13" spans="1:12" x14ac:dyDescent="0.2">
      <c r="A13">
        <v>1573418</v>
      </c>
      <c r="B13">
        <v>5</v>
      </c>
      <c r="C13" t="s">
        <v>505</v>
      </c>
      <c r="E13" s="9" t="s">
        <v>169</v>
      </c>
      <c r="G13" s="9" t="s">
        <v>169</v>
      </c>
      <c r="J13" t="s">
        <v>169</v>
      </c>
      <c r="K13" s="9"/>
      <c r="L13" t="str">
        <f t="shared" si="0"/>
        <v/>
      </c>
    </row>
    <row r="14" spans="1:12" x14ac:dyDescent="0.2">
      <c r="A14">
        <v>1613492</v>
      </c>
      <c r="B14">
        <v>0</v>
      </c>
      <c r="C14" t="s">
        <v>179</v>
      </c>
      <c r="D14" t="s">
        <v>74</v>
      </c>
      <c r="E14" s="9" t="s">
        <v>146</v>
      </c>
      <c r="F14" t="s">
        <v>3</v>
      </c>
      <c r="G14" s="9" t="s">
        <v>146</v>
      </c>
      <c r="H14" t="s">
        <v>75</v>
      </c>
      <c r="I14" t="s">
        <v>74</v>
      </c>
      <c r="J14" t="s">
        <v>8</v>
      </c>
      <c r="L14" t="str">
        <f t="shared" si="0"/>
        <v>TP</v>
      </c>
    </row>
    <row r="15" spans="1:12" x14ac:dyDescent="0.2">
      <c r="A15">
        <v>1613492</v>
      </c>
      <c r="B15">
        <v>0</v>
      </c>
      <c r="C15" t="s">
        <v>179</v>
      </c>
      <c r="D15" t="s">
        <v>74</v>
      </c>
      <c r="E15" s="9" t="s">
        <v>146</v>
      </c>
      <c r="F15" t="s">
        <v>3</v>
      </c>
      <c r="G15" s="9" t="s">
        <v>146</v>
      </c>
      <c r="H15" t="s">
        <v>75</v>
      </c>
      <c r="I15" t="s">
        <v>74</v>
      </c>
      <c r="J15" t="s">
        <v>8</v>
      </c>
      <c r="L15" t="str">
        <f t="shared" si="0"/>
        <v>TP</v>
      </c>
    </row>
    <row r="16" spans="1:12" x14ac:dyDescent="0.2">
      <c r="A16">
        <v>1613492</v>
      </c>
      <c r="B16">
        <v>1</v>
      </c>
      <c r="C16" t="s">
        <v>180</v>
      </c>
      <c r="D16" t="s">
        <v>74</v>
      </c>
      <c r="E16" s="9" t="s">
        <v>146</v>
      </c>
      <c r="F16" t="s">
        <v>3</v>
      </c>
      <c r="G16" s="9" t="s">
        <v>146</v>
      </c>
      <c r="H16" t="s">
        <v>75</v>
      </c>
      <c r="I16" t="s">
        <v>74</v>
      </c>
      <c r="J16" t="s">
        <v>8</v>
      </c>
      <c r="L16" t="str">
        <f t="shared" si="0"/>
        <v>TP</v>
      </c>
    </row>
    <row r="17" spans="1:12" x14ac:dyDescent="0.2">
      <c r="A17">
        <v>1613492</v>
      </c>
      <c r="B17">
        <v>1</v>
      </c>
      <c r="C17" t="s">
        <v>180</v>
      </c>
      <c r="D17" t="s">
        <v>57</v>
      </c>
      <c r="E17" s="9" t="s">
        <v>38</v>
      </c>
      <c r="F17" t="s">
        <v>38</v>
      </c>
      <c r="G17" s="9" t="s">
        <v>38</v>
      </c>
      <c r="J17" t="s">
        <v>169</v>
      </c>
      <c r="L17" t="str">
        <f t="shared" si="0"/>
        <v/>
      </c>
    </row>
    <row r="18" spans="1:12" x14ac:dyDescent="0.2">
      <c r="A18">
        <v>1613492</v>
      </c>
      <c r="B18">
        <v>2</v>
      </c>
      <c r="C18" t="s">
        <v>181</v>
      </c>
      <c r="D18" t="s">
        <v>74</v>
      </c>
      <c r="E18" s="9" t="s">
        <v>146</v>
      </c>
      <c r="F18" t="s">
        <v>3</v>
      </c>
      <c r="G18" s="9" t="s">
        <v>146</v>
      </c>
      <c r="H18" t="s">
        <v>75</v>
      </c>
      <c r="I18" t="s">
        <v>74</v>
      </c>
      <c r="J18" t="s">
        <v>8</v>
      </c>
      <c r="L18" t="str">
        <f t="shared" si="0"/>
        <v>TP</v>
      </c>
    </row>
    <row r="19" spans="1:12" x14ac:dyDescent="0.2">
      <c r="A19">
        <v>1613492</v>
      </c>
      <c r="B19">
        <v>3</v>
      </c>
      <c r="C19" t="s">
        <v>182</v>
      </c>
      <c r="D19" t="s">
        <v>69</v>
      </c>
      <c r="E19" s="9" t="s">
        <v>38</v>
      </c>
      <c r="F19" t="s">
        <v>38</v>
      </c>
      <c r="G19" s="9" t="s">
        <v>38</v>
      </c>
      <c r="J19" t="s">
        <v>169</v>
      </c>
      <c r="L19" t="str">
        <f t="shared" si="0"/>
        <v/>
      </c>
    </row>
    <row r="20" spans="1:12" x14ac:dyDescent="0.2">
      <c r="A20">
        <v>1613492</v>
      </c>
      <c r="B20">
        <v>3</v>
      </c>
      <c r="C20" t="s">
        <v>182</v>
      </c>
      <c r="D20" s="10" t="s">
        <v>183</v>
      </c>
      <c r="E20" s="9" t="s">
        <v>146</v>
      </c>
      <c r="F20" t="s">
        <v>61</v>
      </c>
      <c r="G20" s="9" t="s">
        <v>146</v>
      </c>
      <c r="J20" t="s">
        <v>169</v>
      </c>
      <c r="L20" t="str">
        <f t="shared" si="0"/>
        <v>TP</v>
      </c>
    </row>
    <row r="21" spans="1:12" x14ac:dyDescent="0.2">
      <c r="A21">
        <v>1613492</v>
      </c>
      <c r="B21">
        <v>3</v>
      </c>
      <c r="C21" t="s">
        <v>182</v>
      </c>
      <c r="D21" t="s">
        <v>184</v>
      </c>
      <c r="E21" s="9" t="s">
        <v>167</v>
      </c>
      <c r="F21" t="s">
        <v>44</v>
      </c>
      <c r="G21" s="9" t="s">
        <v>167</v>
      </c>
      <c r="J21" t="s">
        <v>169</v>
      </c>
      <c r="L21" t="str">
        <f t="shared" si="0"/>
        <v>FP</v>
      </c>
    </row>
    <row r="22" spans="1:12" x14ac:dyDescent="0.2">
      <c r="A22">
        <v>1613492</v>
      </c>
      <c r="B22">
        <v>4</v>
      </c>
      <c r="C22" t="s">
        <v>185</v>
      </c>
      <c r="E22" s="9" t="s">
        <v>169</v>
      </c>
      <c r="G22" s="9" t="s">
        <v>169</v>
      </c>
      <c r="J22" t="s">
        <v>169</v>
      </c>
      <c r="L22" t="str">
        <f t="shared" si="0"/>
        <v/>
      </c>
    </row>
    <row r="23" spans="1:12" x14ac:dyDescent="0.2">
      <c r="A23">
        <v>1613492</v>
      </c>
      <c r="B23">
        <v>5</v>
      </c>
      <c r="C23" t="s">
        <v>186</v>
      </c>
      <c r="D23" t="s">
        <v>74</v>
      </c>
      <c r="E23" s="11" t="s">
        <v>146</v>
      </c>
      <c r="F23" s="12" t="s">
        <v>3</v>
      </c>
      <c r="G23" s="11" t="s">
        <v>146</v>
      </c>
      <c r="H23" t="s">
        <v>75</v>
      </c>
      <c r="I23" t="s">
        <v>74</v>
      </c>
      <c r="J23" t="s">
        <v>8</v>
      </c>
      <c r="L23" t="str">
        <f t="shared" si="0"/>
        <v>TP</v>
      </c>
    </row>
    <row r="24" spans="1:12" x14ac:dyDescent="0.2">
      <c r="A24">
        <v>1613492</v>
      </c>
      <c r="B24">
        <v>5</v>
      </c>
      <c r="C24" t="s">
        <v>186</v>
      </c>
      <c r="D24" t="s">
        <v>74</v>
      </c>
      <c r="E24" s="9" t="s">
        <v>146</v>
      </c>
      <c r="F24" t="s">
        <v>3</v>
      </c>
      <c r="G24" s="9" t="s">
        <v>146</v>
      </c>
      <c r="H24" t="s">
        <v>75</v>
      </c>
      <c r="I24" t="s">
        <v>74</v>
      </c>
      <c r="J24" t="s">
        <v>8</v>
      </c>
      <c r="L24" t="str">
        <f t="shared" si="0"/>
        <v>TP</v>
      </c>
    </row>
    <row r="25" spans="1:12" x14ac:dyDescent="0.2">
      <c r="A25">
        <v>1613492</v>
      </c>
      <c r="B25">
        <v>5</v>
      </c>
      <c r="C25" t="s">
        <v>186</v>
      </c>
      <c r="D25" t="s">
        <v>69</v>
      </c>
      <c r="E25" s="9" t="s">
        <v>38</v>
      </c>
      <c r="F25" t="s">
        <v>38</v>
      </c>
      <c r="G25" s="9" t="s">
        <v>38</v>
      </c>
      <c r="J25" t="s">
        <v>169</v>
      </c>
      <c r="L25" t="str">
        <f t="shared" si="0"/>
        <v/>
      </c>
    </row>
    <row r="26" spans="1:12" x14ac:dyDescent="0.2">
      <c r="A26">
        <v>1613492</v>
      </c>
      <c r="B26">
        <v>6</v>
      </c>
      <c r="C26" t="s">
        <v>187</v>
      </c>
      <c r="D26" t="s">
        <v>74</v>
      </c>
      <c r="E26" s="9" t="s">
        <v>146</v>
      </c>
      <c r="F26" t="s">
        <v>3</v>
      </c>
      <c r="G26" s="9" t="s">
        <v>146</v>
      </c>
      <c r="H26" t="s">
        <v>75</v>
      </c>
      <c r="I26" t="s">
        <v>74</v>
      </c>
      <c r="J26" t="s">
        <v>8</v>
      </c>
      <c r="L26" t="str">
        <f t="shared" si="0"/>
        <v>TP</v>
      </c>
    </row>
    <row r="27" spans="1:12" x14ac:dyDescent="0.2">
      <c r="A27">
        <v>1613492</v>
      </c>
      <c r="B27">
        <v>7</v>
      </c>
      <c r="C27" t="s">
        <v>188</v>
      </c>
      <c r="D27" t="s">
        <v>74</v>
      </c>
      <c r="E27" s="9" t="s">
        <v>146</v>
      </c>
      <c r="F27" t="s">
        <v>3</v>
      </c>
      <c r="G27" s="9" t="s">
        <v>146</v>
      </c>
      <c r="H27" t="s">
        <v>75</v>
      </c>
      <c r="I27" t="s">
        <v>74</v>
      </c>
      <c r="J27" t="s">
        <v>8</v>
      </c>
      <c r="L27" t="str">
        <f t="shared" si="0"/>
        <v>TP</v>
      </c>
    </row>
    <row r="28" spans="1:12" x14ac:dyDescent="0.2">
      <c r="A28">
        <v>1613492</v>
      </c>
      <c r="B28">
        <v>8</v>
      </c>
      <c r="C28" t="s">
        <v>189</v>
      </c>
      <c r="D28" t="s">
        <v>74</v>
      </c>
      <c r="E28" s="9" t="s">
        <v>146</v>
      </c>
      <c r="F28" t="s">
        <v>3</v>
      </c>
      <c r="G28" s="9" t="s">
        <v>146</v>
      </c>
      <c r="H28" t="s">
        <v>75</v>
      </c>
      <c r="I28" t="s">
        <v>74</v>
      </c>
      <c r="J28" t="s">
        <v>8</v>
      </c>
      <c r="L28" t="str">
        <f t="shared" si="0"/>
        <v>TP</v>
      </c>
    </row>
    <row r="29" spans="1:12" x14ac:dyDescent="0.2">
      <c r="A29">
        <v>1613492</v>
      </c>
      <c r="B29">
        <v>8</v>
      </c>
      <c r="C29" t="s">
        <v>189</v>
      </c>
      <c r="D29" t="s">
        <v>74</v>
      </c>
      <c r="E29" s="9" t="s">
        <v>146</v>
      </c>
      <c r="F29" t="s">
        <v>3</v>
      </c>
      <c r="G29" s="9" t="s">
        <v>146</v>
      </c>
      <c r="H29" t="s">
        <v>75</v>
      </c>
      <c r="I29" t="s">
        <v>74</v>
      </c>
      <c r="J29" t="s">
        <v>8</v>
      </c>
      <c r="L29" t="str">
        <f t="shared" si="0"/>
        <v>TP</v>
      </c>
    </row>
    <row r="30" spans="1:12" x14ac:dyDescent="0.2">
      <c r="A30">
        <v>1613492</v>
      </c>
      <c r="B30">
        <v>9</v>
      </c>
      <c r="C30" t="s">
        <v>190</v>
      </c>
      <c r="D30" t="s">
        <v>74</v>
      </c>
      <c r="E30" s="9" t="s">
        <v>146</v>
      </c>
      <c r="F30" t="s">
        <v>3</v>
      </c>
      <c r="G30" s="9" t="s">
        <v>146</v>
      </c>
      <c r="H30" t="s">
        <v>75</v>
      </c>
      <c r="I30" t="s">
        <v>74</v>
      </c>
      <c r="J30" t="s">
        <v>8</v>
      </c>
      <c r="L30" t="str">
        <f t="shared" si="0"/>
        <v>TP</v>
      </c>
    </row>
    <row r="31" spans="1:12" x14ac:dyDescent="0.2">
      <c r="A31">
        <v>1613492</v>
      </c>
      <c r="B31">
        <v>10</v>
      </c>
      <c r="C31" t="s">
        <v>191</v>
      </c>
      <c r="D31" t="s">
        <v>74</v>
      </c>
      <c r="E31" s="9" t="s">
        <v>146</v>
      </c>
      <c r="F31" t="s">
        <v>3</v>
      </c>
      <c r="G31" s="9" t="s">
        <v>146</v>
      </c>
      <c r="H31" t="s">
        <v>75</v>
      </c>
      <c r="I31" t="s">
        <v>74</v>
      </c>
      <c r="J31" t="s">
        <v>8</v>
      </c>
      <c r="L31" t="str">
        <f t="shared" si="0"/>
        <v>TP</v>
      </c>
    </row>
    <row r="32" spans="1:12" x14ac:dyDescent="0.2">
      <c r="A32">
        <v>1613492</v>
      </c>
      <c r="B32">
        <v>11</v>
      </c>
      <c r="C32" t="s">
        <v>192</v>
      </c>
      <c r="D32" t="s">
        <v>74</v>
      </c>
      <c r="E32" s="9" t="s">
        <v>146</v>
      </c>
      <c r="F32" t="s">
        <v>3</v>
      </c>
      <c r="G32" s="9" t="s">
        <v>146</v>
      </c>
      <c r="H32" t="s">
        <v>75</v>
      </c>
      <c r="I32" t="s">
        <v>74</v>
      </c>
      <c r="J32" t="s">
        <v>8</v>
      </c>
      <c r="L32" t="str">
        <f t="shared" si="0"/>
        <v>TP</v>
      </c>
    </row>
    <row r="33" spans="1:12" x14ac:dyDescent="0.2">
      <c r="A33">
        <v>1613492</v>
      </c>
      <c r="B33">
        <v>12</v>
      </c>
      <c r="C33" t="s">
        <v>193</v>
      </c>
      <c r="D33" t="s">
        <v>74</v>
      </c>
      <c r="E33" s="9" t="s">
        <v>146</v>
      </c>
      <c r="F33" t="s">
        <v>3</v>
      </c>
      <c r="G33" s="9" t="s">
        <v>146</v>
      </c>
      <c r="H33" t="s">
        <v>75</v>
      </c>
      <c r="I33" t="s">
        <v>74</v>
      </c>
      <c r="J33" t="s">
        <v>8</v>
      </c>
      <c r="L33" t="str">
        <f t="shared" si="0"/>
        <v>TP</v>
      </c>
    </row>
    <row r="34" spans="1:12" x14ac:dyDescent="0.2">
      <c r="A34">
        <v>1613492</v>
      </c>
      <c r="B34">
        <v>13</v>
      </c>
      <c r="C34" t="s">
        <v>194</v>
      </c>
      <c r="D34" t="s">
        <v>69</v>
      </c>
      <c r="E34" s="9" t="s">
        <v>38</v>
      </c>
      <c r="F34" t="s">
        <v>38</v>
      </c>
      <c r="G34" s="9" t="s">
        <v>38</v>
      </c>
      <c r="J34" t="s">
        <v>169</v>
      </c>
      <c r="L34" t="str">
        <f t="shared" si="0"/>
        <v/>
      </c>
    </row>
    <row r="35" spans="1:12" x14ac:dyDescent="0.2">
      <c r="A35">
        <v>1613492</v>
      </c>
      <c r="B35">
        <v>13</v>
      </c>
      <c r="C35" t="s">
        <v>194</v>
      </c>
      <c r="D35" t="s">
        <v>195</v>
      </c>
      <c r="E35" s="9" t="s">
        <v>146</v>
      </c>
      <c r="F35" t="s">
        <v>3</v>
      </c>
      <c r="G35" s="9" t="s">
        <v>146</v>
      </c>
      <c r="H35" t="s">
        <v>196</v>
      </c>
      <c r="I35" t="s">
        <v>195</v>
      </c>
      <c r="J35" t="s">
        <v>8</v>
      </c>
      <c r="K35" t="s">
        <v>82</v>
      </c>
      <c r="L35" t="str">
        <f t="shared" si="0"/>
        <v>TP</v>
      </c>
    </row>
    <row r="36" spans="1:12" x14ac:dyDescent="0.2">
      <c r="A36">
        <v>1613492</v>
      </c>
      <c r="B36">
        <v>13</v>
      </c>
      <c r="C36" t="s">
        <v>194</v>
      </c>
      <c r="D36" t="s">
        <v>74</v>
      </c>
      <c r="E36" s="9" t="s">
        <v>146</v>
      </c>
      <c r="F36" t="s">
        <v>3</v>
      </c>
      <c r="G36" s="9" t="s">
        <v>146</v>
      </c>
      <c r="H36" t="s">
        <v>75</v>
      </c>
      <c r="I36" t="s">
        <v>74</v>
      </c>
      <c r="J36" t="s">
        <v>8</v>
      </c>
      <c r="L36" t="str">
        <f t="shared" si="0"/>
        <v>TP</v>
      </c>
    </row>
    <row r="37" spans="1:12" x14ac:dyDescent="0.2">
      <c r="A37">
        <v>1613492</v>
      </c>
      <c r="B37">
        <v>13</v>
      </c>
      <c r="C37" t="s">
        <v>194</v>
      </c>
      <c r="D37" t="s">
        <v>74</v>
      </c>
      <c r="E37" s="9" t="s">
        <v>146</v>
      </c>
      <c r="F37" t="s">
        <v>3</v>
      </c>
      <c r="G37" s="9" t="s">
        <v>146</v>
      </c>
      <c r="H37" t="s">
        <v>75</v>
      </c>
      <c r="I37" t="s">
        <v>74</v>
      </c>
      <c r="J37" t="s">
        <v>8</v>
      </c>
      <c r="L37" t="str">
        <f t="shared" si="0"/>
        <v>TP</v>
      </c>
    </row>
    <row r="38" spans="1:12" x14ac:dyDescent="0.2">
      <c r="A38">
        <v>1613492</v>
      </c>
      <c r="B38">
        <v>13</v>
      </c>
      <c r="C38" t="s">
        <v>194</v>
      </c>
      <c r="D38" t="s">
        <v>197</v>
      </c>
      <c r="E38" s="9" t="s">
        <v>38</v>
      </c>
      <c r="F38" t="s">
        <v>38</v>
      </c>
      <c r="G38" s="9" t="s">
        <v>38</v>
      </c>
      <c r="L38" t="str">
        <f t="shared" si="0"/>
        <v/>
      </c>
    </row>
    <row r="39" spans="1:12" x14ac:dyDescent="0.2">
      <c r="A39">
        <v>1613492</v>
      </c>
      <c r="B39">
        <v>13</v>
      </c>
      <c r="C39" t="s">
        <v>194</v>
      </c>
      <c r="D39" t="s">
        <v>198</v>
      </c>
      <c r="E39" s="9" t="s">
        <v>507</v>
      </c>
      <c r="F39" t="s">
        <v>3</v>
      </c>
      <c r="G39" s="9" t="s">
        <v>507</v>
      </c>
      <c r="J39" t="s">
        <v>10</v>
      </c>
      <c r="L39" t="str">
        <f t="shared" si="0"/>
        <v/>
      </c>
    </row>
    <row r="40" spans="1:12" x14ac:dyDescent="0.2">
      <c r="A40">
        <v>1735443</v>
      </c>
      <c r="B40">
        <v>0</v>
      </c>
      <c r="C40" t="s">
        <v>199</v>
      </c>
      <c r="D40" t="s">
        <v>200</v>
      </c>
      <c r="E40" s="9" t="s">
        <v>507</v>
      </c>
      <c r="F40" t="s">
        <v>3</v>
      </c>
      <c r="G40" s="9" t="s">
        <v>507</v>
      </c>
      <c r="J40" t="s">
        <v>169</v>
      </c>
      <c r="L40" t="str">
        <f t="shared" si="0"/>
        <v/>
      </c>
    </row>
    <row r="41" spans="1:12" x14ac:dyDescent="0.2">
      <c r="A41">
        <v>1735443</v>
      </c>
      <c r="B41">
        <v>1</v>
      </c>
      <c r="C41" t="s">
        <v>201</v>
      </c>
      <c r="D41" t="s">
        <v>202</v>
      </c>
      <c r="E41" s="9" t="s">
        <v>146</v>
      </c>
      <c r="F41" t="s">
        <v>44</v>
      </c>
      <c r="G41" s="9" t="s">
        <v>146</v>
      </c>
      <c r="H41" t="s">
        <v>203</v>
      </c>
      <c r="I41" t="s">
        <v>204</v>
      </c>
      <c r="J41" t="s">
        <v>8</v>
      </c>
      <c r="K41" t="s">
        <v>509</v>
      </c>
      <c r="L41" t="str">
        <f t="shared" si="0"/>
        <v>TP</v>
      </c>
    </row>
    <row r="42" spans="1:12" x14ac:dyDescent="0.2">
      <c r="A42">
        <v>1735443</v>
      </c>
      <c r="B42">
        <v>2</v>
      </c>
      <c r="C42" t="s">
        <v>205</v>
      </c>
      <c r="D42" t="s">
        <v>508</v>
      </c>
      <c r="E42" s="9" t="s">
        <v>146</v>
      </c>
      <c r="F42" t="s">
        <v>3</v>
      </c>
      <c r="G42" s="9" t="s">
        <v>146</v>
      </c>
      <c r="J42" t="s">
        <v>169</v>
      </c>
      <c r="L42" t="str">
        <f t="shared" si="0"/>
        <v>TP</v>
      </c>
    </row>
    <row r="43" spans="1:12" x14ac:dyDescent="0.2">
      <c r="A43">
        <v>1735443</v>
      </c>
      <c r="B43">
        <v>2</v>
      </c>
      <c r="C43" t="s">
        <v>205</v>
      </c>
      <c r="D43" t="s">
        <v>208</v>
      </c>
      <c r="E43" s="9" t="s">
        <v>38</v>
      </c>
      <c r="F43" t="s">
        <v>38</v>
      </c>
      <c r="G43" s="9" t="s">
        <v>38</v>
      </c>
      <c r="L43" t="str">
        <f t="shared" si="0"/>
        <v/>
      </c>
    </row>
    <row r="44" spans="1:12" x14ac:dyDescent="0.2">
      <c r="A44">
        <v>1735443</v>
      </c>
      <c r="B44">
        <v>2</v>
      </c>
      <c r="C44" t="s">
        <v>205</v>
      </c>
      <c r="D44" t="s">
        <v>206</v>
      </c>
      <c r="E44" s="9" t="s">
        <v>38</v>
      </c>
      <c r="F44" t="s">
        <v>44</v>
      </c>
      <c r="G44" s="9" t="s">
        <v>38</v>
      </c>
      <c r="J44" t="s">
        <v>10</v>
      </c>
      <c r="L44" t="str">
        <f t="shared" si="0"/>
        <v/>
      </c>
    </row>
    <row r="45" spans="1:12" x14ac:dyDescent="0.2">
      <c r="A45">
        <v>1735443</v>
      </c>
      <c r="B45">
        <v>3</v>
      </c>
      <c r="C45" t="s">
        <v>207</v>
      </c>
      <c r="D45" t="s">
        <v>208</v>
      </c>
      <c r="E45" s="9" t="s">
        <v>38</v>
      </c>
      <c r="F45" t="s">
        <v>38</v>
      </c>
      <c r="G45" s="9" t="s">
        <v>38</v>
      </c>
      <c r="J45" t="s">
        <v>169</v>
      </c>
      <c r="L45" t="str">
        <f t="shared" si="0"/>
        <v/>
      </c>
    </row>
    <row r="46" spans="1:12" x14ac:dyDescent="0.2">
      <c r="A46">
        <v>1735443</v>
      </c>
      <c r="B46">
        <v>4</v>
      </c>
      <c r="C46" t="s">
        <v>209</v>
      </c>
      <c r="D46" t="s">
        <v>208</v>
      </c>
      <c r="E46" s="9" t="s">
        <v>38</v>
      </c>
      <c r="F46" t="s">
        <v>38</v>
      </c>
      <c r="G46" s="9" t="s">
        <v>38</v>
      </c>
      <c r="J46" t="s">
        <v>169</v>
      </c>
      <c r="L46" t="str">
        <f t="shared" si="0"/>
        <v/>
      </c>
    </row>
    <row r="47" spans="1:12" x14ac:dyDescent="0.2">
      <c r="A47">
        <v>1735443</v>
      </c>
      <c r="B47">
        <v>4</v>
      </c>
      <c r="C47" t="s">
        <v>209</v>
      </c>
      <c r="D47" t="s">
        <v>105</v>
      </c>
      <c r="E47" s="9" t="s">
        <v>38</v>
      </c>
      <c r="F47" t="s">
        <v>38</v>
      </c>
      <c r="G47" s="9" t="s">
        <v>38</v>
      </c>
      <c r="L47" t="str">
        <f t="shared" si="0"/>
        <v/>
      </c>
    </row>
    <row r="48" spans="1:12" x14ac:dyDescent="0.2">
      <c r="A48">
        <v>1742806</v>
      </c>
      <c r="B48">
        <v>0</v>
      </c>
      <c r="C48" t="s">
        <v>210</v>
      </c>
      <c r="D48" t="s">
        <v>72</v>
      </c>
      <c r="E48" s="9" t="s">
        <v>146</v>
      </c>
      <c r="F48" t="s">
        <v>3</v>
      </c>
      <c r="G48" s="9" t="s">
        <v>146</v>
      </c>
      <c r="H48" t="s">
        <v>73</v>
      </c>
      <c r="I48" t="s">
        <v>72</v>
      </c>
      <c r="J48" t="s">
        <v>8</v>
      </c>
      <c r="L48" t="str">
        <f t="shared" si="0"/>
        <v>TP</v>
      </c>
    </row>
    <row r="49" spans="1:12" x14ac:dyDescent="0.2">
      <c r="A49">
        <v>1742806</v>
      </c>
      <c r="B49">
        <v>0</v>
      </c>
      <c r="C49" t="s">
        <v>210</v>
      </c>
      <c r="D49" t="s">
        <v>211</v>
      </c>
      <c r="E49" s="9" t="s">
        <v>146</v>
      </c>
      <c r="F49" t="s">
        <v>3</v>
      </c>
      <c r="G49" s="9" t="s">
        <v>146</v>
      </c>
      <c r="H49" t="s">
        <v>73</v>
      </c>
      <c r="I49" t="s">
        <v>72</v>
      </c>
      <c r="J49" t="s">
        <v>8</v>
      </c>
      <c r="L49" t="str">
        <f t="shared" si="0"/>
        <v>TP</v>
      </c>
    </row>
    <row r="50" spans="1:12" x14ac:dyDescent="0.2">
      <c r="A50">
        <v>1742806</v>
      </c>
      <c r="B50">
        <v>1</v>
      </c>
      <c r="C50" t="s">
        <v>212</v>
      </c>
      <c r="D50" t="s">
        <v>213</v>
      </c>
      <c r="E50" s="9" t="s">
        <v>38</v>
      </c>
      <c r="F50" t="s">
        <v>38</v>
      </c>
      <c r="G50" s="9" t="s">
        <v>38</v>
      </c>
      <c r="L50" t="str">
        <f t="shared" si="0"/>
        <v/>
      </c>
    </row>
    <row r="51" spans="1:12" x14ac:dyDescent="0.2">
      <c r="A51">
        <v>1742806</v>
      </c>
      <c r="B51">
        <v>1</v>
      </c>
      <c r="C51" t="s">
        <v>212</v>
      </c>
      <c r="D51" t="s">
        <v>72</v>
      </c>
      <c r="E51" s="9" t="s">
        <v>146</v>
      </c>
      <c r="F51" t="s">
        <v>3</v>
      </c>
      <c r="G51" s="9" t="s">
        <v>146</v>
      </c>
      <c r="H51" t="s">
        <v>73</v>
      </c>
      <c r="I51" t="s">
        <v>72</v>
      </c>
      <c r="J51" t="s">
        <v>8</v>
      </c>
      <c r="L51" t="str">
        <f t="shared" si="0"/>
        <v>TP</v>
      </c>
    </row>
    <row r="52" spans="1:12" x14ac:dyDescent="0.2">
      <c r="A52">
        <v>1742806</v>
      </c>
      <c r="B52">
        <v>1</v>
      </c>
      <c r="C52" t="s">
        <v>212</v>
      </c>
      <c r="D52" t="s">
        <v>214</v>
      </c>
      <c r="E52" s="9" t="s">
        <v>146</v>
      </c>
      <c r="F52" t="s">
        <v>3</v>
      </c>
      <c r="G52" s="9" t="s">
        <v>146</v>
      </c>
      <c r="H52" t="s">
        <v>73</v>
      </c>
      <c r="I52" t="s">
        <v>72</v>
      </c>
      <c r="J52" t="s">
        <v>8</v>
      </c>
      <c r="L52" t="str">
        <f t="shared" si="0"/>
        <v>TP</v>
      </c>
    </row>
    <row r="53" spans="1:12" x14ac:dyDescent="0.2">
      <c r="A53">
        <v>1742806</v>
      </c>
      <c r="B53">
        <v>2</v>
      </c>
      <c r="C53" t="s">
        <v>215</v>
      </c>
      <c r="D53" t="s">
        <v>72</v>
      </c>
      <c r="E53" s="9" t="s">
        <v>146</v>
      </c>
      <c r="F53" t="s">
        <v>3</v>
      </c>
      <c r="G53" s="9" t="s">
        <v>146</v>
      </c>
      <c r="H53" t="s">
        <v>73</v>
      </c>
      <c r="I53" t="s">
        <v>72</v>
      </c>
      <c r="J53" t="s">
        <v>8</v>
      </c>
      <c r="L53" t="str">
        <f t="shared" si="0"/>
        <v>TP</v>
      </c>
    </row>
    <row r="54" spans="1:12" x14ac:dyDescent="0.2">
      <c r="A54">
        <v>1742806</v>
      </c>
      <c r="B54">
        <v>2</v>
      </c>
      <c r="C54" t="s">
        <v>215</v>
      </c>
      <c r="D54" t="s">
        <v>510</v>
      </c>
      <c r="E54" s="9" t="s">
        <v>38</v>
      </c>
      <c r="F54" t="s">
        <v>38</v>
      </c>
      <c r="G54" s="9" t="s">
        <v>38</v>
      </c>
      <c r="L54" t="str">
        <f t="shared" si="0"/>
        <v/>
      </c>
    </row>
    <row r="55" spans="1:12" x14ac:dyDescent="0.2">
      <c r="A55">
        <v>1742806</v>
      </c>
      <c r="B55">
        <v>2</v>
      </c>
      <c r="C55" t="s">
        <v>215</v>
      </c>
      <c r="D55" t="s">
        <v>511</v>
      </c>
      <c r="E55" s="9" t="s">
        <v>146</v>
      </c>
      <c r="F55" t="s">
        <v>99</v>
      </c>
      <c r="G55" s="9" t="s">
        <v>146</v>
      </c>
      <c r="L55" t="str">
        <f t="shared" si="0"/>
        <v>TP</v>
      </c>
    </row>
    <row r="56" spans="1:12" x14ac:dyDescent="0.2">
      <c r="A56">
        <v>1742806</v>
      </c>
      <c r="B56">
        <v>3</v>
      </c>
      <c r="C56" t="s">
        <v>216</v>
      </c>
      <c r="D56" t="s">
        <v>512</v>
      </c>
      <c r="E56" s="9" t="s">
        <v>146</v>
      </c>
      <c r="F56" t="s">
        <v>61</v>
      </c>
      <c r="G56" s="9" t="s">
        <v>146</v>
      </c>
      <c r="J56" t="s">
        <v>10</v>
      </c>
      <c r="L56" t="str">
        <f t="shared" si="0"/>
        <v>TP</v>
      </c>
    </row>
    <row r="57" spans="1:12" x14ac:dyDescent="0.2">
      <c r="A57">
        <v>1742806</v>
      </c>
      <c r="B57">
        <v>3</v>
      </c>
      <c r="C57" t="s">
        <v>216</v>
      </c>
      <c r="D57" t="s">
        <v>217</v>
      </c>
      <c r="E57" s="9" t="s">
        <v>146</v>
      </c>
      <c r="F57" t="s">
        <v>61</v>
      </c>
      <c r="G57" s="9" t="s">
        <v>146</v>
      </c>
      <c r="J57" t="s">
        <v>169</v>
      </c>
      <c r="L57" t="str">
        <f t="shared" si="0"/>
        <v>TP</v>
      </c>
    </row>
    <row r="58" spans="1:12" x14ac:dyDescent="0.2">
      <c r="A58">
        <v>1742806</v>
      </c>
      <c r="B58">
        <v>3</v>
      </c>
      <c r="C58" t="s">
        <v>216</v>
      </c>
      <c r="D58" t="s">
        <v>217</v>
      </c>
      <c r="E58" s="9" t="s">
        <v>146</v>
      </c>
      <c r="F58" t="s">
        <v>61</v>
      </c>
      <c r="G58" s="9" t="s">
        <v>146</v>
      </c>
      <c r="J58" t="s">
        <v>169</v>
      </c>
      <c r="L58" t="str">
        <f t="shared" si="0"/>
        <v>TP</v>
      </c>
    </row>
    <row r="59" spans="1:12" x14ac:dyDescent="0.2">
      <c r="A59">
        <v>1742806</v>
      </c>
      <c r="B59">
        <v>3</v>
      </c>
      <c r="C59" t="s">
        <v>216</v>
      </c>
      <c r="D59" t="s">
        <v>513</v>
      </c>
      <c r="E59" s="9" t="s">
        <v>146</v>
      </c>
      <c r="F59" t="s">
        <v>61</v>
      </c>
      <c r="G59" s="9" t="s">
        <v>146</v>
      </c>
      <c r="J59" t="s">
        <v>169</v>
      </c>
      <c r="L59" t="str">
        <f t="shared" si="0"/>
        <v>TP</v>
      </c>
    </row>
    <row r="60" spans="1:12" x14ac:dyDescent="0.2">
      <c r="A60">
        <v>1742806</v>
      </c>
      <c r="B60">
        <v>4</v>
      </c>
      <c r="C60" t="s">
        <v>218</v>
      </c>
      <c r="D60" t="s">
        <v>217</v>
      </c>
      <c r="E60" s="9" t="s">
        <v>146</v>
      </c>
      <c r="F60" t="s">
        <v>61</v>
      </c>
      <c r="G60" s="9" t="s">
        <v>146</v>
      </c>
      <c r="J60" t="s">
        <v>169</v>
      </c>
      <c r="L60" t="str">
        <f t="shared" si="0"/>
        <v>TP</v>
      </c>
    </row>
    <row r="61" spans="1:12" x14ac:dyDescent="0.2">
      <c r="A61">
        <v>1742806</v>
      </c>
      <c r="B61">
        <v>4</v>
      </c>
      <c r="C61" t="s">
        <v>218</v>
      </c>
      <c r="D61" t="s">
        <v>219</v>
      </c>
      <c r="E61" s="9" t="s">
        <v>146</v>
      </c>
      <c r="F61" t="s">
        <v>61</v>
      </c>
      <c r="G61" s="9" t="s">
        <v>146</v>
      </c>
      <c r="L61" t="str">
        <f t="shared" si="0"/>
        <v>TP</v>
      </c>
    </row>
    <row r="62" spans="1:12" x14ac:dyDescent="0.2">
      <c r="A62">
        <v>1742806</v>
      </c>
      <c r="B62">
        <v>4</v>
      </c>
      <c r="C62" t="s">
        <v>218</v>
      </c>
      <c r="D62" t="s">
        <v>514</v>
      </c>
      <c r="E62" s="9" t="s">
        <v>146</v>
      </c>
      <c r="F62" t="s">
        <v>61</v>
      </c>
      <c r="G62" s="9" t="s">
        <v>146</v>
      </c>
      <c r="J62" t="s">
        <v>169</v>
      </c>
      <c r="L62" t="str">
        <f t="shared" si="0"/>
        <v>TP</v>
      </c>
    </row>
    <row r="63" spans="1:12" x14ac:dyDescent="0.2">
      <c r="A63">
        <v>1742806</v>
      </c>
      <c r="B63">
        <v>4</v>
      </c>
      <c r="C63" t="s">
        <v>218</v>
      </c>
      <c r="D63" t="s">
        <v>514</v>
      </c>
      <c r="E63" s="9" t="s">
        <v>146</v>
      </c>
      <c r="F63" t="s">
        <v>61</v>
      </c>
      <c r="G63" s="9" t="s">
        <v>146</v>
      </c>
      <c r="J63" t="s">
        <v>169</v>
      </c>
      <c r="L63" t="str">
        <f t="shared" si="0"/>
        <v>TP</v>
      </c>
    </row>
    <row r="64" spans="1:12" x14ac:dyDescent="0.2">
      <c r="A64">
        <v>1742806</v>
      </c>
      <c r="B64">
        <v>5</v>
      </c>
      <c r="C64" t="s">
        <v>220</v>
      </c>
      <c r="D64" s="10" t="s">
        <v>221</v>
      </c>
      <c r="E64" s="9" t="s">
        <v>146</v>
      </c>
      <c r="F64" t="s">
        <v>99</v>
      </c>
      <c r="G64" s="9" t="s">
        <v>146</v>
      </c>
      <c r="L64" t="str">
        <f t="shared" si="0"/>
        <v>TP</v>
      </c>
    </row>
    <row r="65" spans="1:12" x14ac:dyDescent="0.2">
      <c r="A65">
        <v>1742806</v>
      </c>
      <c r="B65">
        <v>6</v>
      </c>
      <c r="C65" t="s">
        <v>222</v>
      </c>
      <c r="D65" t="s">
        <v>223</v>
      </c>
      <c r="E65" s="9" t="s">
        <v>146</v>
      </c>
      <c r="F65" t="s">
        <v>3</v>
      </c>
      <c r="G65" s="9" t="s">
        <v>146</v>
      </c>
      <c r="J65" t="s">
        <v>169</v>
      </c>
      <c r="L65" t="str">
        <f t="shared" si="0"/>
        <v>TP</v>
      </c>
    </row>
    <row r="66" spans="1:12" x14ac:dyDescent="0.2">
      <c r="A66">
        <v>1742806</v>
      </c>
      <c r="B66">
        <v>6</v>
      </c>
      <c r="C66" t="s">
        <v>222</v>
      </c>
      <c r="D66" t="s">
        <v>515</v>
      </c>
      <c r="E66" s="9" t="s">
        <v>38</v>
      </c>
      <c r="F66" t="s">
        <v>38</v>
      </c>
      <c r="G66" s="9" t="s">
        <v>38</v>
      </c>
      <c r="L66" t="str">
        <f t="shared" si="0"/>
        <v/>
      </c>
    </row>
    <row r="67" spans="1:12" x14ac:dyDescent="0.2">
      <c r="A67">
        <v>1742806</v>
      </c>
      <c r="B67">
        <v>6</v>
      </c>
      <c r="C67" t="s">
        <v>222</v>
      </c>
      <c r="D67" t="s">
        <v>516</v>
      </c>
      <c r="E67" s="9" t="s">
        <v>146</v>
      </c>
      <c r="F67" t="s">
        <v>99</v>
      </c>
      <c r="G67" s="9" t="s">
        <v>146</v>
      </c>
      <c r="L67" t="str">
        <f t="shared" ref="L67:L130" si="1">IF(OR(E67="FP",G67="FP"),"FP",IF(AND(E67="TP",E67="TP"),"TP",""))</f>
        <v>TP</v>
      </c>
    </row>
    <row r="68" spans="1:12" x14ac:dyDescent="0.2">
      <c r="A68">
        <v>1742806</v>
      </c>
      <c r="B68">
        <v>6</v>
      </c>
      <c r="C68" t="s">
        <v>222</v>
      </c>
      <c r="D68" t="s">
        <v>514</v>
      </c>
      <c r="E68" s="9" t="s">
        <v>146</v>
      </c>
      <c r="F68" t="s">
        <v>61</v>
      </c>
      <c r="G68" s="9" t="s">
        <v>146</v>
      </c>
      <c r="L68" t="str">
        <f t="shared" si="1"/>
        <v>TP</v>
      </c>
    </row>
    <row r="69" spans="1:12" x14ac:dyDescent="0.2">
      <c r="A69">
        <v>1742806</v>
      </c>
      <c r="B69">
        <v>6</v>
      </c>
      <c r="C69" t="s">
        <v>222</v>
      </c>
      <c r="D69" t="s">
        <v>512</v>
      </c>
      <c r="E69" s="9" t="s">
        <v>146</v>
      </c>
      <c r="F69" t="s">
        <v>61</v>
      </c>
      <c r="G69" s="9" t="s">
        <v>146</v>
      </c>
      <c r="L69" t="str">
        <f t="shared" si="1"/>
        <v>TP</v>
      </c>
    </row>
    <row r="70" spans="1:12" x14ac:dyDescent="0.2">
      <c r="A70">
        <v>1742806</v>
      </c>
      <c r="B70">
        <v>6</v>
      </c>
      <c r="C70" t="s">
        <v>222</v>
      </c>
      <c r="D70" t="s">
        <v>512</v>
      </c>
      <c r="E70" s="9" t="s">
        <v>146</v>
      </c>
      <c r="F70" t="s">
        <v>61</v>
      </c>
      <c r="G70" s="9" t="s">
        <v>146</v>
      </c>
      <c r="L70" t="str">
        <f t="shared" si="1"/>
        <v>TP</v>
      </c>
    </row>
    <row r="71" spans="1:12" x14ac:dyDescent="0.2">
      <c r="A71">
        <v>1742806</v>
      </c>
      <c r="B71">
        <v>7</v>
      </c>
      <c r="C71" t="s">
        <v>224</v>
      </c>
      <c r="E71" s="9" t="s">
        <v>169</v>
      </c>
      <c r="G71" s="9" t="s">
        <v>169</v>
      </c>
      <c r="J71" t="s">
        <v>169</v>
      </c>
      <c r="L71" t="str">
        <f t="shared" si="1"/>
        <v/>
      </c>
    </row>
    <row r="72" spans="1:12" x14ac:dyDescent="0.2">
      <c r="A72">
        <v>1742806</v>
      </c>
      <c r="B72">
        <v>8</v>
      </c>
      <c r="C72" t="s">
        <v>225</v>
      </c>
      <c r="D72" t="s">
        <v>217</v>
      </c>
      <c r="E72" s="9" t="s">
        <v>146</v>
      </c>
      <c r="F72" t="s">
        <v>61</v>
      </c>
      <c r="G72" s="9" t="s">
        <v>146</v>
      </c>
      <c r="J72" t="s">
        <v>169</v>
      </c>
      <c r="L72" t="str">
        <f t="shared" si="1"/>
        <v>TP</v>
      </c>
    </row>
    <row r="73" spans="1:12" x14ac:dyDescent="0.2">
      <c r="A73">
        <v>1742806</v>
      </c>
      <c r="B73">
        <v>8</v>
      </c>
      <c r="C73" t="s">
        <v>225</v>
      </c>
      <c r="D73" t="s">
        <v>219</v>
      </c>
      <c r="E73" s="9" t="s">
        <v>146</v>
      </c>
      <c r="F73" t="s">
        <v>61</v>
      </c>
      <c r="G73" s="9" t="s">
        <v>146</v>
      </c>
      <c r="L73" t="str">
        <f t="shared" si="1"/>
        <v>TP</v>
      </c>
    </row>
    <row r="74" spans="1:12" x14ac:dyDescent="0.2">
      <c r="A74">
        <v>1742806</v>
      </c>
      <c r="B74">
        <v>9</v>
      </c>
      <c r="C74" t="s">
        <v>226</v>
      </c>
      <c r="D74" t="s">
        <v>72</v>
      </c>
      <c r="E74" s="9" t="s">
        <v>146</v>
      </c>
      <c r="F74" t="s">
        <v>3</v>
      </c>
      <c r="G74" s="9" t="s">
        <v>146</v>
      </c>
      <c r="H74" t="s">
        <v>73</v>
      </c>
      <c r="I74" t="s">
        <v>72</v>
      </c>
      <c r="J74" t="s">
        <v>8</v>
      </c>
      <c r="L74" t="str">
        <f t="shared" si="1"/>
        <v>TP</v>
      </c>
    </row>
    <row r="75" spans="1:12" x14ac:dyDescent="0.2">
      <c r="A75">
        <v>1742806</v>
      </c>
      <c r="B75">
        <v>9</v>
      </c>
      <c r="C75" t="s">
        <v>226</v>
      </c>
      <c r="D75" t="s">
        <v>214</v>
      </c>
      <c r="E75" s="9" t="s">
        <v>146</v>
      </c>
      <c r="F75" t="s">
        <v>3</v>
      </c>
      <c r="G75" s="9" t="s">
        <v>146</v>
      </c>
      <c r="H75" t="s">
        <v>73</v>
      </c>
      <c r="I75" t="s">
        <v>72</v>
      </c>
      <c r="J75" t="s">
        <v>8</v>
      </c>
      <c r="L75" t="str">
        <f t="shared" si="1"/>
        <v>TP</v>
      </c>
    </row>
    <row r="76" spans="1:12" x14ac:dyDescent="0.2">
      <c r="A76">
        <v>1742806</v>
      </c>
      <c r="B76">
        <v>9</v>
      </c>
      <c r="C76" t="s">
        <v>226</v>
      </c>
      <c r="D76" t="s">
        <v>227</v>
      </c>
      <c r="E76" s="9" t="s">
        <v>146</v>
      </c>
      <c r="F76" t="s">
        <v>61</v>
      </c>
      <c r="G76" s="9" t="s">
        <v>146</v>
      </c>
      <c r="L76" t="str">
        <f t="shared" si="1"/>
        <v>TP</v>
      </c>
    </row>
    <row r="77" spans="1:12" x14ac:dyDescent="0.2">
      <c r="A77">
        <v>1742806</v>
      </c>
      <c r="B77">
        <v>9</v>
      </c>
      <c r="C77" t="s">
        <v>226</v>
      </c>
      <c r="D77" t="s">
        <v>227</v>
      </c>
      <c r="E77" s="9" t="s">
        <v>146</v>
      </c>
      <c r="F77" t="s">
        <v>61</v>
      </c>
      <c r="G77" s="9" t="s">
        <v>146</v>
      </c>
      <c r="L77" t="str">
        <f t="shared" si="1"/>
        <v>TP</v>
      </c>
    </row>
    <row r="78" spans="1:12" x14ac:dyDescent="0.2">
      <c r="A78">
        <v>1742806</v>
      </c>
      <c r="B78">
        <v>9</v>
      </c>
      <c r="C78" t="s">
        <v>226</v>
      </c>
      <c r="D78" t="s">
        <v>227</v>
      </c>
      <c r="E78" s="9" t="s">
        <v>146</v>
      </c>
      <c r="F78" t="s">
        <v>61</v>
      </c>
      <c r="G78" s="9" t="s">
        <v>146</v>
      </c>
      <c r="L78" t="str">
        <f t="shared" si="1"/>
        <v>TP</v>
      </c>
    </row>
    <row r="79" spans="1:12" x14ac:dyDescent="0.2">
      <c r="A79">
        <v>1742806</v>
      </c>
      <c r="B79">
        <v>10</v>
      </c>
      <c r="C79" t="s">
        <v>228</v>
      </c>
      <c r="D79" t="s">
        <v>72</v>
      </c>
      <c r="E79" s="9" t="s">
        <v>146</v>
      </c>
      <c r="F79" t="s">
        <v>3</v>
      </c>
      <c r="G79" s="9" t="s">
        <v>146</v>
      </c>
      <c r="H79" t="s">
        <v>73</v>
      </c>
      <c r="I79" t="s">
        <v>72</v>
      </c>
      <c r="J79" t="s">
        <v>8</v>
      </c>
      <c r="L79" t="str">
        <f t="shared" si="1"/>
        <v>TP</v>
      </c>
    </row>
    <row r="80" spans="1:12" x14ac:dyDescent="0.2">
      <c r="A80">
        <v>1742806</v>
      </c>
      <c r="B80">
        <v>10</v>
      </c>
      <c r="C80" t="s">
        <v>228</v>
      </c>
      <c r="D80" t="s">
        <v>229</v>
      </c>
      <c r="E80" s="9" t="s">
        <v>146</v>
      </c>
      <c r="F80" t="s">
        <v>3</v>
      </c>
      <c r="G80" s="9" t="s">
        <v>146</v>
      </c>
      <c r="H80" t="s">
        <v>73</v>
      </c>
      <c r="I80" t="s">
        <v>72</v>
      </c>
      <c r="J80" t="s">
        <v>8</v>
      </c>
      <c r="L80" t="str">
        <f t="shared" si="1"/>
        <v>TP</v>
      </c>
    </row>
    <row r="81" spans="1:12" x14ac:dyDescent="0.2">
      <c r="A81">
        <v>1742806</v>
      </c>
      <c r="B81">
        <v>10</v>
      </c>
      <c r="C81" t="s">
        <v>228</v>
      </c>
      <c r="D81" t="s">
        <v>227</v>
      </c>
      <c r="E81" s="9" t="s">
        <v>146</v>
      </c>
      <c r="F81" t="s">
        <v>61</v>
      </c>
      <c r="G81" s="9" t="s">
        <v>146</v>
      </c>
      <c r="L81" t="str">
        <f t="shared" si="1"/>
        <v>TP</v>
      </c>
    </row>
    <row r="82" spans="1:12" x14ac:dyDescent="0.2">
      <c r="A82">
        <v>1742806</v>
      </c>
      <c r="B82">
        <v>10</v>
      </c>
      <c r="C82" t="s">
        <v>228</v>
      </c>
      <c r="D82" t="s">
        <v>69</v>
      </c>
      <c r="E82" s="9" t="s">
        <v>38</v>
      </c>
      <c r="F82" t="s">
        <v>38</v>
      </c>
      <c r="G82" s="9" t="s">
        <v>38</v>
      </c>
      <c r="J82" t="s">
        <v>169</v>
      </c>
      <c r="L82" t="str">
        <f t="shared" si="1"/>
        <v/>
      </c>
    </row>
    <row r="83" spans="1:12" x14ac:dyDescent="0.2">
      <c r="A83">
        <v>1854798</v>
      </c>
      <c r="B83">
        <v>0</v>
      </c>
      <c r="C83" t="s">
        <v>230</v>
      </c>
      <c r="D83" t="s">
        <v>24</v>
      </c>
      <c r="E83" s="9" t="s">
        <v>38</v>
      </c>
      <c r="F83" t="s">
        <v>38</v>
      </c>
      <c r="G83" s="9" t="s">
        <v>38</v>
      </c>
      <c r="J83" t="s">
        <v>169</v>
      </c>
      <c r="L83" t="str">
        <f t="shared" si="1"/>
        <v/>
      </c>
    </row>
    <row r="84" spans="1:12" x14ac:dyDescent="0.2">
      <c r="A84">
        <v>1854798</v>
      </c>
      <c r="B84">
        <v>1</v>
      </c>
      <c r="C84" t="s">
        <v>231</v>
      </c>
      <c r="D84" t="s">
        <v>24</v>
      </c>
      <c r="E84" s="9" t="s">
        <v>38</v>
      </c>
      <c r="F84" t="s">
        <v>38</v>
      </c>
      <c r="G84" s="9" t="s">
        <v>38</v>
      </c>
      <c r="J84" t="s">
        <v>169</v>
      </c>
      <c r="L84" t="str">
        <f t="shared" si="1"/>
        <v/>
      </c>
    </row>
    <row r="85" spans="1:12" x14ac:dyDescent="0.2">
      <c r="A85">
        <v>1854798</v>
      </c>
      <c r="B85">
        <v>2</v>
      </c>
      <c r="C85" t="s">
        <v>232</v>
      </c>
      <c r="D85" t="s">
        <v>24</v>
      </c>
      <c r="E85" s="9" t="s">
        <v>38</v>
      </c>
      <c r="F85" t="s">
        <v>38</v>
      </c>
      <c r="G85" s="9" t="s">
        <v>38</v>
      </c>
      <c r="J85" t="s">
        <v>169</v>
      </c>
      <c r="L85" t="str">
        <f t="shared" si="1"/>
        <v/>
      </c>
    </row>
    <row r="86" spans="1:12" x14ac:dyDescent="0.2">
      <c r="A86">
        <v>1854798</v>
      </c>
      <c r="B86">
        <v>2</v>
      </c>
      <c r="C86" t="s">
        <v>232</v>
      </c>
      <c r="D86" t="s">
        <v>518</v>
      </c>
      <c r="E86" s="9" t="s">
        <v>151</v>
      </c>
      <c r="F86" t="s">
        <v>44</v>
      </c>
      <c r="G86" s="9" t="s">
        <v>151</v>
      </c>
      <c r="J86" t="s">
        <v>169</v>
      </c>
      <c r="L86" t="str">
        <f t="shared" si="1"/>
        <v/>
      </c>
    </row>
    <row r="87" spans="1:12" x14ac:dyDescent="0.2">
      <c r="A87">
        <v>1854798</v>
      </c>
      <c r="B87">
        <v>2</v>
      </c>
      <c r="C87" t="s">
        <v>232</v>
      </c>
      <c r="D87" t="s">
        <v>517</v>
      </c>
      <c r="E87" s="9" t="s">
        <v>151</v>
      </c>
      <c r="F87" t="s">
        <v>44</v>
      </c>
      <c r="G87" s="9" t="s">
        <v>151</v>
      </c>
      <c r="L87" t="str">
        <f t="shared" si="1"/>
        <v/>
      </c>
    </row>
    <row r="88" spans="1:12" x14ac:dyDescent="0.2">
      <c r="A88">
        <v>1854798</v>
      </c>
      <c r="B88">
        <v>2</v>
      </c>
      <c r="C88" t="s">
        <v>232</v>
      </c>
      <c r="D88" t="s">
        <v>234</v>
      </c>
      <c r="E88" s="9" t="s">
        <v>146</v>
      </c>
      <c r="F88" t="s">
        <v>3</v>
      </c>
      <c r="G88" s="9" t="s">
        <v>146</v>
      </c>
      <c r="H88" t="s">
        <v>235</v>
      </c>
      <c r="I88" t="s">
        <v>236</v>
      </c>
      <c r="J88" t="s">
        <v>8</v>
      </c>
      <c r="K88" t="s">
        <v>241</v>
      </c>
      <c r="L88" t="str">
        <f t="shared" si="1"/>
        <v>TP</v>
      </c>
    </row>
    <row r="89" spans="1:12" x14ac:dyDescent="0.2">
      <c r="A89">
        <v>1854798</v>
      </c>
      <c r="B89">
        <v>3</v>
      </c>
      <c r="C89" t="s">
        <v>237</v>
      </c>
      <c r="D89" t="s">
        <v>234</v>
      </c>
      <c r="E89" s="9" t="s">
        <v>146</v>
      </c>
      <c r="F89" t="s">
        <v>3</v>
      </c>
      <c r="G89" s="9" t="s">
        <v>146</v>
      </c>
      <c r="H89" t="s">
        <v>235</v>
      </c>
      <c r="I89" t="s">
        <v>236</v>
      </c>
      <c r="J89" t="s">
        <v>8</v>
      </c>
      <c r="L89" t="str">
        <f t="shared" si="1"/>
        <v>TP</v>
      </c>
    </row>
    <row r="90" spans="1:12" x14ac:dyDescent="0.2">
      <c r="A90">
        <v>1854798</v>
      </c>
      <c r="B90">
        <v>3</v>
      </c>
      <c r="C90" t="s">
        <v>237</v>
      </c>
      <c r="D90" t="s">
        <v>238</v>
      </c>
      <c r="E90" s="9" t="s">
        <v>146</v>
      </c>
      <c r="F90" t="s">
        <v>3</v>
      </c>
      <c r="G90" s="9" t="s">
        <v>146</v>
      </c>
      <c r="J90" t="s">
        <v>10</v>
      </c>
      <c r="K90" t="s">
        <v>242</v>
      </c>
      <c r="L90" t="str">
        <f t="shared" si="1"/>
        <v>TP</v>
      </c>
    </row>
    <row r="91" spans="1:12" x14ac:dyDescent="0.2">
      <c r="A91">
        <v>1854798</v>
      </c>
      <c r="B91">
        <v>4</v>
      </c>
      <c r="C91" t="s">
        <v>239</v>
      </c>
      <c r="E91" s="9" t="s">
        <v>169</v>
      </c>
      <c r="G91" s="9" t="s">
        <v>169</v>
      </c>
      <c r="J91" t="s">
        <v>169</v>
      </c>
      <c r="L91" t="str">
        <f t="shared" si="1"/>
        <v/>
      </c>
    </row>
    <row r="92" spans="1:12" x14ac:dyDescent="0.2">
      <c r="A92">
        <v>1854798</v>
      </c>
      <c r="B92">
        <v>5</v>
      </c>
      <c r="C92" t="s">
        <v>240</v>
      </c>
      <c r="D92" t="s">
        <v>241</v>
      </c>
      <c r="E92" s="9" t="s">
        <v>146</v>
      </c>
      <c r="F92" t="s">
        <v>3</v>
      </c>
      <c r="G92" s="9" t="s">
        <v>146</v>
      </c>
      <c r="J92" t="s">
        <v>10</v>
      </c>
      <c r="L92" t="str">
        <f t="shared" si="1"/>
        <v>TP</v>
      </c>
    </row>
    <row r="93" spans="1:12" x14ac:dyDescent="0.2">
      <c r="A93">
        <v>1854798</v>
      </c>
      <c r="B93">
        <v>5</v>
      </c>
      <c r="C93" t="s">
        <v>240</v>
      </c>
      <c r="D93" t="s">
        <v>242</v>
      </c>
      <c r="E93" s="9" t="s">
        <v>146</v>
      </c>
      <c r="F93" t="s">
        <v>3</v>
      </c>
      <c r="G93" s="9" t="s">
        <v>146</v>
      </c>
      <c r="J93" t="s">
        <v>10</v>
      </c>
      <c r="L93" t="str">
        <f t="shared" si="1"/>
        <v>TP</v>
      </c>
    </row>
    <row r="94" spans="1:12" x14ac:dyDescent="0.2">
      <c r="A94">
        <v>1854798</v>
      </c>
      <c r="B94">
        <v>5</v>
      </c>
      <c r="C94" t="s">
        <v>240</v>
      </c>
      <c r="D94" t="s">
        <v>242</v>
      </c>
      <c r="E94" s="9" t="s">
        <v>146</v>
      </c>
      <c r="F94" t="s">
        <v>3</v>
      </c>
      <c r="G94" s="9" t="s">
        <v>146</v>
      </c>
      <c r="J94" t="s">
        <v>10</v>
      </c>
      <c r="L94" t="str">
        <f t="shared" si="1"/>
        <v>TP</v>
      </c>
    </row>
    <row r="95" spans="1:12" x14ac:dyDescent="0.2">
      <c r="A95">
        <v>1854798</v>
      </c>
      <c r="B95">
        <v>6</v>
      </c>
      <c r="C95" t="s">
        <v>243</v>
      </c>
      <c r="D95" t="s">
        <v>519</v>
      </c>
      <c r="E95" s="9" t="s">
        <v>146</v>
      </c>
      <c r="F95" t="s">
        <v>44</v>
      </c>
      <c r="G95" s="9" t="s">
        <v>146</v>
      </c>
      <c r="J95" t="s">
        <v>10</v>
      </c>
      <c r="L95" t="str">
        <f t="shared" si="1"/>
        <v>TP</v>
      </c>
    </row>
    <row r="96" spans="1:12" x14ac:dyDescent="0.2">
      <c r="A96">
        <v>1854798</v>
      </c>
      <c r="B96">
        <v>6</v>
      </c>
      <c r="C96" t="s">
        <v>243</v>
      </c>
      <c r="D96" t="s">
        <v>520</v>
      </c>
      <c r="E96" s="9" t="s">
        <v>146</v>
      </c>
      <c r="F96" t="s">
        <v>44</v>
      </c>
      <c r="G96" s="9" t="s">
        <v>146</v>
      </c>
      <c r="J96" t="s">
        <v>10</v>
      </c>
      <c r="L96" t="str">
        <f t="shared" si="1"/>
        <v>TP</v>
      </c>
    </row>
    <row r="97" spans="1:12" x14ac:dyDescent="0.2">
      <c r="A97">
        <v>1854798</v>
      </c>
      <c r="B97">
        <v>7</v>
      </c>
      <c r="C97" t="s">
        <v>244</v>
      </c>
      <c r="D97" t="s">
        <v>245</v>
      </c>
      <c r="E97" s="9" t="s">
        <v>151</v>
      </c>
      <c r="F97" t="s">
        <v>3</v>
      </c>
      <c r="G97" s="9" t="s">
        <v>151</v>
      </c>
      <c r="J97" t="s">
        <v>10</v>
      </c>
      <c r="L97" t="str">
        <f t="shared" si="1"/>
        <v/>
      </c>
    </row>
    <row r="98" spans="1:12" x14ac:dyDescent="0.2">
      <c r="A98">
        <v>1854798</v>
      </c>
      <c r="B98">
        <v>8</v>
      </c>
      <c r="C98" t="s">
        <v>246</v>
      </c>
      <c r="D98" t="s">
        <v>247</v>
      </c>
      <c r="E98" s="9" t="s">
        <v>146</v>
      </c>
      <c r="F98" t="s">
        <v>3</v>
      </c>
      <c r="G98" s="9" t="s">
        <v>146</v>
      </c>
      <c r="J98" t="s">
        <v>10</v>
      </c>
      <c r="L98" t="str">
        <f t="shared" si="1"/>
        <v>TP</v>
      </c>
    </row>
    <row r="99" spans="1:12" x14ac:dyDescent="0.2">
      <c r="A99">
        <v>1854798</v>
      </c>
      <c r="B99">
        <v>8</v>
      </c>
      <c r="C99" t="s">
        <v>246</v>
      </c>
      <c r="D99" t="s">
        <v>248</v>
      </c>
      <c r="E99" s="9" t="s">
        <v>146</v>
      </c>
      <c r="F99" t="s">
        <v>3</v>
      </c>
      <c r="G99" s="9" t="s">
        <v>146</v>
      </c>
      <c r="J99" t="s">
        <v>10</v>
      </c>
      <c r="L99" t="str">
        <f t="shared" si="1"/>
        <v>TP</v>
      </c>
    </row>
    <row r="100" spans="1:12" x14ac:dyDescent="0.2">
      <c r="A100">
        <v>1854798</v>
      </c>
      <c r="B100">
        <v>8</v>
      </c>
      <c r="C100" t="s">
        <v>246</v>
      </c>
      <c r="D100" t="s">
        <v>249</v>
      </c>
      <c r="E100" s="9" t="s">
        <v>146</v>
      </c>
      <c r="F100" t="s">
        <v>3</v>
      </c>
      <c r="G100" s="9" t="s">
        <v>146</v>
      </c>
      <c r="H100" t="s">
        <v>250</v>
      </c>
      <c r="I100" t="s">
        <v>251</v>
      </c>
      <c r="J100" t="s">
        <v>8</v>
      </c>
      <c r="L100" t="str">
        <f t="shared" si="1"/>
        <v>TP</v>
      </c>
    </row>
    <row r="101" spans="1:12" x14ac:dyDescent="0.2">
      <c r="A101">
        <v>1854798</v>
      </c>
      <c r="B101">
        <v>9</v>
      </c>
      <c r="C101" t="s">
        <v>252</v>
      </c>
      <c r="D101" t="s">
        <v>253</v>
      </c>
      <c r="E101" s="9" t="s">
        <v>146</v>
      </c>
      <c r="F101" t="s">
        <v>44</v>
      </c>
      <c r="G101" s="9" t="s">
        <v>146</v>
      </c>
      <c r="J101" t="s">
        <v>10</v>
      </c>
      <c r="L101" t="str">
        <f t="shared" si="1"/>
        <v>TP</v>
      </c>
    </row>
    <row r="102" spans="1:12" x14ac:dyDescent="0.2">
      <c r="A102">
        <v>1854798</v>
      </c>
      <c r="B102">
        <v>9</v>
      </c>
      <c r="C102" t="s">
        <v>252</v>
      </c>
      <c r="D102" t="s">
        <v>254</v>
      </c>
      <c r="E102" s="9" t="s">
        <v>146</v>
      </c>
      <c r="F102" t="s">
        <v>44</v>
      </c>
      <c r="G102" s="9" t="s">
        <v>146</v>
      </c>
      <c r="J102" t="s">
        <v>169</v>
      </c>
      <c r="L102" t="str">
        <f t="shared" si="1"/>
        <v>TP</v>
      </c>
    </row>
    <row r="103" spans="1:12" x14ac:dyDescent="0.2">
      <c r="A103">
        <v>1854798</v>
      </c>
      <c r="B103">
        <v>9</v>
      </c>
      <c r="C103" t="s">
        <v>252</v>
      </c>
      <c r="D103" t="s">
        <v>255</v>
      </c>
      <c r="E103" s="9" t="s">
        <v>146</v>
      </c>
      <c r="F103" t="s">
        <v>3</v>
      </c>
      <c r="G103" s="9" t="s">
        <v>146</v>
      </c>
      <c r="H103" t="s">
        <v>256</v>
      </c>
      <c r="I103" t="s">
        <v>257</v>
      </c>
      <c r="J103" t="s">
        <v>8</v>
      </c>
      <c r="L103" t="str">
        <f t="shared" si="1"/>
        <v>TP</v>
      </c>
    </row>
    <row r="104" spans="1:12" x14ac:dyDescent="0.2">
      <c r="A104">
        <v>1854798</v>
      </c>
      <c r="B104">
        <v>9</v>
      </c>
      <c r="C104" t="s">
        <v>252</v>
      </c>
      <c r="D104" t="s">
        <v>258</v>
      </c>
      <c r="E104" s="9" t="s">
        <v>146</v>
      </c>
      <c r="F104" t="s">
        <v>44</v>
      </c>
      <c r="G104" s="9" t="s">
        <v>146</v>
      </c>
      <c r="J104" t="s">
        <v>169</v>
      </c>
      <c r="L104" t="str">
        <f t="shared" si="1"/>
        <v>TP</v>
      </c>
    </row>
    <row r="105" spans="1:12" x14ac:dyDescent="0.2">
      <c r="A105">
        <v>1854798</v>
      </c>
      <c r="B105">
        <v>10</v>
      </c>
      <c r="C105" t="s">
        <v>259</v>
      </c>
      <c r="D105" t="s">
        <v>260</v>
      </c>
      <c r="E105" s="9" t="s">
        <v>146</v>
      </c>
      <c r="F105" t="s">
        <v>3</v>
      </c>
      <c r="G105" s="9" t="s">
        <v>146</v>
      </c>
      <c r="J105" t="s">
        <v>10</v>
      </c>
      <c r="L105" t="str">
        <f t="shared" si="1"/>
        <v>TP</v>
      </c>
    </row>
    <row r="106" spans="1:12" x14ac:dyDescent="0.2">
      <c r="A106">
        <v>1854798</v>
      </c>
      <c r="B106">
        <v>11</v>
      </c>
      <c r="C106" t="s">
        <v>261</v>
      </c>
      <c r="D106" t="s">
        <v>208</v>
      </c>
      <c r="E106" s="9" t="s">
        <v>38</v>
      </c>
      <c r="F106" t="s">
        <v>38</v>
      </c>
      <c r="G106" s="9" t="s">
        <v>38</v>
      </c>
      <c r="J106" t="s">
        <v>169</v>
      </c>
      <c r="L106" t="str">
        <f t="shared" si="1"/>
        <v/>
      </c>
    </row>
    <row r="107" spans="1:12" x14ac:dyDescent="0.2">
      <c r="A107">
        <v>1854798</v>
      </c>
      <c r="B107">
        <v>12</v>
      </c>
      <c r="C107" t="s">
        <v>262</v>
      </c>
      <c r="D107" t="s">
        <v>48</v>
      </c>
      <c r="E107" s="9" t="s">
        <v>38</v>
      </c>
      <c r="F107" t="s">
        <v>38</v>
      </c>
      <c r="G107" s="9" t="s">
        <v>38</v>
      </c>
      <c r="J107" t="s">
        <v>169</v>
      </c>
      <c r="L107" t="str">
        <f t="shared" si="1"/>
        <v/>
      </c>
    </row>
    <row r="108" spans="1:12" x14ac:dyDescent="0.2">
      <c r="A108">
        <v>1854798</v>
      </c>
      <c r="B108">
        <v>13</v>
      </c>
      <c r="C108" t="s">
        <v>263</v>
      </c>
      <c r="D108" t="s">
        <v>264</v>
      </c>
      <c r="E108" s="9" t="s">
        <v>38</v>
      </c>
      <c r="F108" t="s">
        <v>38</v>
      </c>
      <c r="G108" s="9" t="s">
        <v>38</v>
      </c>
      <c r="J108" t="s">
        <v>10</v>
      </c>
      <c r="L108" t="str">
        <f t="shared" si="1"/>
        <v/>
      </c>
    </row>
    <row r="109" spans="1:12" x14ac:dyDescent="0.2">
      <c r="A109">
        <v>1854798</v>
      </c>
      <c r="B109">
        <v>13</v>
      </c>
      <c r="C109" t="s">
        <v>263</v>
      </c>
      <c r="D109" t="s">
        <v>233</v>
      </c>
      <c r="E109" s="9" t="s">
        <v>146</v>
      </c>
      <c r="F109" t="s">
        <v>44</v>
      </c>
      <c r="G109" s="9" t="s">
        <v>146</v>
      </c>
      <c r="J109" t="s">
        <v>169</v>
      </c>
      <c r="L109" t="str">
        <f t="shared" si="1"/>
        <v>TP</v>
      </c>
    </row>
    <row r="110" spans="1:12" x14ac:dyDescent="0.2">
      <c r="A110">
        <v>1854798</v>
      </c>
      <c r="B110">
        <v>13</v>
      </c>
      <c r="C110" t="s">
        <v>263</v>
      </c>
      <c r="D110" t="s">
        <v>265</v>
      </c>
      <c r="E110" s="9" t="s">
        <v>146</v>
      </c>
      <c r="F110" t="s">
        <v>44</v>
      </c>
      <c r="G110" s="9" t="s">
        <v>146</v>
      </c>
      <c r="J110" t="s">
        <v>169</v>
      </c>
      <c r="L110" t="str">
        <f t="shared" si="1"/>
        <v>TP</v>
      </c>
    </row>
    <row r="111" spans="1:12" x14ac:dyDescent="0.2">
      <c r="A111">
        <v>1868069</v>
      </c>
      <c r="B111">
        <v>0</v>
      </c>
      <c r="C111" t="s">
        <v>266</v>
      </c>
      <c r="D111" t="s">
        <v>40</v>
      </c>
      <c r="E111" s="9" t="s">
        <v>38</v>
      </c>
      <c r="F111" t="s">
        <v>38</v>
      </c>
      <c r="G111" s="9" t="s">
        <v>38</v>
      </c>
      <c r="J111" t="s">
        <v>169</v>
      </c>
      <c r="L111" t="str">
        <f t="shared" si="1"/>
        <v/>
      </c>
    </row>
    <row r="112" spans="1:12" x14ac:dyDescent="0.2">
      <c r="A112">
        <v>1868069</v>
      </c>
      <c r="B112">
        <v>0</v>
      </c>
      <c r="C112" t="s">
        <v>266</v>
      </c>
      <c r="D112" t="s">
        <v>267</v>
      </c>
      <c r="E112" s="9" t="s">
        <v>38</v>
      </c>
      <c r="F112" t="s">
        <v>38</v>
      </c>
      <c r="G112" s="9" t="s">
        <v>38</v>
      </c>
      <c r="J112" t="s">
        <v>169</v>
      </c>
      <c r="L112" t="str">
        <f t="shared" si="1"/>
        <v/>
      </c>
    </row>
    <row r="113" spans="1:12" x14ac:dyDescent="0.2">
      <c r="A113">
        <v>1868069</v>
      </c>
      <c r="B113">
        <v>1</v>
      </c>
      <c r="C113" t="s">
        <v>268</v>
      </c>
      <c r="D113" t="s">
        <v>48</v>
      </c>
      <c r="E113" s="9" t="s">
        <v>38</v>
      </c>
      <c r="F113" t="s">
        <v>38</v>
      </c>
      <c r="G113" s="9" t="s">
        <v>38</v>
      </c>
      <c r="J113" t="s">
        <v>169</v>
      </c>
      <c r="L113" t="str">
        <f t="shared" si="1"/>
        <v/>
      </c>
    </row>
    <row r="114" spans="1:12" x14ac:dyDescent="0.2">
      <c r="A114">
        <v>1868069</v>
      </c>
      <c r="B114">
        <v>2</v>
      </c>
      <c r="C114" t="s">
        <v>269</v>
      </c>
      <c r="E114" s="9" t="s">
        <v>169</v>
      </c>
      <c r="G114" s="9" t="s">
        <v>169</v>
      </c>
      <c r="J114" t="s">
        <v>169</v>
      </c>
      <c r="L114" t="str">
        <f t="shared" si="1"/>
        <v/>
      </c>
    </row>
    <row r="115" spans="1:12" x14ac:dyDescent="0.2">
      <c r="A115">
        <v>1868069</v>
      </c>
      <c r="B115">
        <v>3</v>
      </c>
      <c r="C115" t="s">
        <v>270</v>
      </c>
      <c r="D115" t="s">
        <v>271</v>
      </c>
      <c r="E115" s="9" t="s">
        <v>151</v>
      </c>
      <c r="F115" t="s">
        <v>3</v>
      </c>
      <c r="G115" s="9" t="s">
        <v>151</v>
      </c>
      <c r="J115" t="s">
        <v>169</v>
      </c>
      <c r="K115" t="s">
        <v>287</v>
      </c>
      <c r="L115" t="str">
        <f t="shared" si="1"/>
        <v/>
      </c>
    </row>
    <row r="116" spans="1:12" x14ac:dyDescent="0.2">
      <c r="A116">
        <v>1868069</v>
      </c>
      <c r="B116">
        <v>3</v>
      </c>
      <c r="C116" t="s">
        <v>270</v>
      </c>
      <c r="D116" t="s">
        <v>272</v>
      </c>
      <c r="E116" s="9" t="s">
        <v>146</v>
      </c>
      <c r="F116" t="s">
        <v>3</v>
      </c>
      <c r="G116" s="9" t="s">
        <v>146</v>
      </c>
      <c r="H116" t="s">
        <v>6</v>
      </c>
      <c r="I116" t="s">
        <v>7</v>
      </c>
      <c r="J116" t="s">
        <v>8</v>
      </c>
      <c r="K116" t="s">
        <v>288</v>
      </c>
      <c r="L116" t="str">
        <f t="shared" si="1"/>
        <v>TP</v>
      </c>
    </row>
    <row r="117" spans="1:12" x14ac:dyDescent="0.2">
      <c r="A117">
        <v>1868069</v>
      </c>
      <c r="B117">
        <v>3</v>
      </c>
      <c r="C117" t="s">
        <v>270</v>
      </c>
      <c r="D117" t="s">
        <v>234</v>
      </c>
      <c r="E117" s="9" t="s">
        <v>146</v>
      </c>
      <c r="F117" t="s">
        <v>3</v>
      </c>
      <c r="G117" s="9" t="s">
        <v>146</v>
      </c>
      <c r="H117" t="s">
        <v>235</v>
      </c>
      <c r="I117" t="s">
        <v>236</v>
      </c>
      <c r="J117" t="s">
        <v>8</v>
      </c>
      <c r="K117" t="s">
        <v>282</v>
      </c>
      <c r="L117" t="str">
        <f t="shared" si="1"/>
        <v>TP</v>
      </c>
    </row>
    <row r="118" spans="1:12" x14ac:dyDescent="0.2">
      <c r="A118">
        <v>1868069</v>
      </c>
      <c r="B118">
        <v>3</v>
      </c>
      <c r="C118" t="s">
        <v>270</v>
      </c>
      <c r="D118" t="s">
        <v>273</v>
      </c>
      <c r="E118" s="9" t="s">
        <v>146</v>
      </c>
      <c r="F118" t="s">
        <v>3</v>
      </c>
      <c r="G118" s="9" t="s">
        <v>146</v>
      </c>
      <c r="H118" t="s">
        <v>274</v>
      </c>
      <c r="I118" t="s">
        <v>275</v>
      </c>
      <c r="J118" t="s">
        <v>8</v>
      </c>
      <c r="K118" t="s">
        <v>283</v>
      </c>
      <c r="L118" t="str">
        <f t="shared" si="1"/>
        <v>TP</v>
      </c>
    </row>
    <row r="119" spans="1:12" x14ac:dyDescent="0.2">
      <c r="A119">
        <v>1868069</v>
      </c>
      <c r="B119">
        <v>3</v>
      </c>
      <c r="C119" t="s">
        <v>270</v>
      </c>
      <c r="D119" t="s">
        <v>276</v>
      </c>
      <c r="E119" s="9" t="s">
        <v>38</v>
      </c>
      <c r="F119" t="s">
        <v>38</v>
      </c>
      <c r="G119" s="9" t="s">
        <v>38</v>
      </c>
      <c r="H119" t="s">
        <v>256</v>
      </c>
      <c r="I119" t="s">
        <v>257</v>
      </c>
      <c r="J119" t="s">
        <v>8</v>
      </c>
      <c r="K119" t="s">
        <v>284</v>
      </c>
      <c r="L119" t="str">
        <f t="shared" si="1"/>
        <v/>
      </c>
    </row>
    <row r="120" spans="1:12" x14ac:dyDescent="0.2">
      <c r="A120">
        <v>1868069</v>
      </c>
      <c r="B120">
        <v>3</v>
      </c>
      <c r="C120" t="s">
        <v>270</v>
      </c>
      <c r="D120" t="s">
        <v>277</v>
      </c>
      <c r="E120" s="9" t="s">
        <v>146</v>
      </c>
      <c r="F120" t="s">
        <v>3</v>
      </c>
      <c r="G120" s="9" t="s">
        <v>146</v>
      </c>
      <c r="H120" t="s">
        <v>278</v>
      </c>
      <c r="I120" t="s">
        <v>277</v>
      </c>
      <c r="J120" t="s">
        <v>8</v>
      </c>
      <c r="K120" t="s">
        <v>285</v>
      </c>
      <c r="L120" t="str">
        <f t="shared" si="1"/>
        <v>TP</v>
      </c>
    </row>
    <row r="121" spans="1:12" x14ac:dyDescent="0.2">
      <c r="A121">
        <v>1868069</v>
      </c>
      <c r="B121">
        <v>3</v>
      </c>
      <c r="C121" t="s">
        <v>270</v>
      </c>
      <c r="D121" t="s">
        <v>279</v>
      </c>
      <c r="E121" s="9" t="s">
        <v>146</v>
      </c>
      <c r="F121" t="s">
        <v>3</v>
      </c>
      <c r="G121" s="9" t="s">
        <v>146</v>
      </c>
      <c r="H121" t="s">
        <v>250</v>
      </c>
      <c r="I121" t="s">
        <v>251</v>
      </c>
      <c r="J121" t="s">
        <v>8</v>
      </c>
      <c r="L121" t="str">
        <f t="shared" si="1"/>
        <v>TP</v>
      </c>
    </row>
    <row r="122" spans="1:12" x14ac:dyDescent="0.2">
      <c r="A122">
        <v>1868069</v>
      </c>
      <c r="B122">
        <v>3</v>
      </c>
      <c r="C122" t="s">
        <v>270</v>
      </c>
      <c r="D122" t="s">
        <v>280</v>
      </c>
      <c r="E122" s="9" t="s">
        <v>151</v>
      </c>
      <c r="F122" t="s">
        <v>3</v>
      </c>
      <c r="G122" s="9" t="s">
        <v>151</v>
      </c>
      <c r="J122" t="s">
        <v>10</v>
      </c>
      <c r="L122" t="str">
        <f t="shared" si="1"/>
        <v/>
      </c>
    </row>
    <row r="123" spans="1:12" x14ac:dyDescent="0.2">
      <c r="A123">
        <v>1868069</v>
      </c>
      <c r="B123">
        <v>4</v>
      </c>
      <c r="C123" t="s">
        <v>281</v>
      </c>
      <c r="D123" t="s">
        <v>282</v>
      </c>
      <c r="E123" s="9" t="s">
        <v>146</v>
      </c>
      <c r="F123" t="s">
        <v>3</v>
      </c>
      <c r="G123" s="9" t="s">
        <v>146</v>
      </c>
      <c r="J123" t="s">
        <v>169</v>
      </c>
      <c r="L123" t="str">
        <f t="shared" si="1"/>
        <v>TP</v>
      </c>
    </row>
    <row r="124" spans="1:12" x14ac:dyDescent="0.2">
      <c r="A124">
        <v>1868069</v>
      </c>
      <c r="B124">
        <v>4</v>
      </c>
      <c r="C124" t="s">
        <v>281</v>
      </c>
      <c r="D124" t="s">
        <v>283</v>
      </c>
      <c r="E124" s="9" t="s">
        <v>146</v>
      </c>
      <c r="F124" t="s">
        <v>3</v>
      </c>
      <c r="G124" s="9" t="s">
        <v>146</v>
      </c>
      <c r="J124" t="s">
        <v>169</v>
      </c>
      <c r="L124" t="str">
        <f t="shared" si="1"/>
        <v>TP</v>
      </c>
    </row>
    <row r="125" spans="1:12" x14ac:dyDescent="0.2">
      <c r="A125">
        <v>1868069</v>
      </c>
      <c r="B125">
        <v>4</v>
      </c>
      <c r="C125" t="s">
        <v>281</v>
      </c>
      <c r="D125" t="s">
        <v>284</v>
      </c>
      <c r="E125" s="9" t="s">
        <v>146</v>
      </c>
      <c r="F125" t="s">
        <v>3</v>
      </c>
      <c r="G125" s="9" t="s">
        <v>146</v>
      </c>
      <c r="J125" t="s">
        <v>169</v>
      </c>
      <c r="L125" t="str">
        <f t="shared" si="1"/>
        <v>TP</v>
      </c>
    </row>
    <row r="126" spans="1:12" x14ac:dyDescent="0.2">
      <c r="A126">
        <v>1868069</v>
      </c>
      <c r="B126">
        <v>4</v>
      </c>
      <c r="C126" t="s">
        <v>281</v>
      </c>
      <c r="D126" t="s">
        <v>285</v>
      </c>
      <c r="E126" s="9" t="s">
        <v>146</v>
      </c>
      <c r="F126" t="s">
        <v>3</v>
      </c>
      <c r="G126" s="9" t="s">
        <v>146</v>
      </c>
      <c r="H126" t="s">
        <v>250</v>
      </c>
      <c r="I126" t="s">
        <v>251</v>
      </c>
      <c r="J126" t="s">
        <v>8</v>
      </c>
      <c r="L126" t="str">
        <f t="shared" si="1"/>
        <v>TP</v>
      </c>
    </row>
    <row r="127" spans="1:12" x14ac:dyDescent="0.2">
      <c r="A127">
        <v>1868069</v>
      </c>
      <c r="B127">
        <v>5</v>
      </c>
      <c r="C127" t="s">
        <v>286</v>
      </c>
      <c r="D127" t="s">
        <v>287</v>
      </c>
      <c r="E127" s="9" t="s">
        <v>146</v>
      </c>
      <c r="F127" t="s">
        <v>3</v>
      </c>
      <c r="G127" s="9" t="s">
        <v>146</v>
      </c>
      <c r="H127" t="s">
        <v>6</v>
      </c>
      <c r="I127" t="s">
        <v>7</v>
      </c>
      <c r="J127" t="s">
        <v>8</v>
      </c>
      <c r="L127" t="str">
        <f t="shared" si="1"/>
        <v>TP</v>
      </c>
    </row>
    <row r="128" spans="1:12" x14ac:dyDescent="0.2">
      <c r="A128">
        <v>1868069</v>
      </c>
      <c r="B128">
        <v>5</v>
      </c>
      <c r="C128" t="s">
        <v>286</v>
      </c>
      <c r="D128" t="s">
        <v>288</v>
      </c>
      <c r="E128" s="9" t="s">
        <v>146</v>
      </c>
      <c r="F128" t="s">
        <v>3</v>
      </c>
      <c r="G128" s="9" t="s">
        <v>146</v>
      </c>
      <c r="H128" t="s">
        <v>235</v>
      </c>
      <c r="I128" t="s">
        <v>236</v>
      </c>
      <c r="J128" t="s">
        <v>8</v>
      </c>
      <c r="L128" t="str">
        <f t="shared" si="1"/>
        <v>TP</v>
      </c>
    </row>
    <row r="129" spans="1:12" x14ac:dyDescent="0.2">
      <c r="A129">
        <v>1868069</v>
      </c>
      <c r="B129">
        <v>6</v>
      </c>
      <c r="C129" t="s">
        <v>289</v>
      </c>
      <c r="D129" t="s">
        <v>287</v>
      </c>
      <c r="E129" s="9" t="s">
        <v>146</v>
      </c>
      <c r="F129" t="s">
        <v>3</v>
      </c>
      <c r="G129" s="9" t="s">
        <v>146</v>
      </c>
      <c r="H129" t="s">
        <v>6</v>
      </c>
      <c r="I129" t="s">
        <v>7</v>
      </c>
      <c r="J129" t="s">
        <v>8</v>
      </c>
      <c r="L129" t="str">
        <f t="shared" si="1"/>
        <v>TP</v>
      </c>
    </row>
    <row r="130" spans="1:12" x14ac:dyDescent="0.2">
      <c r="A130">
        <v>1868069</v>
      </c>
      <c r="B130">
        <v>6</v>
      </c>
      <c r="C130" t="s">
        <v>289</v>
      </c>
      <c r="D130" t="s">
        <v>267</v>
      </c>
      <c r="E130" s="9" t="s">
        <v>38</v>
      </c>
      <c r="F130" t="s">
        <v>38</v>
      </c>
      <c r="G130" s="9" t="s">
        <v>38</v>
      </c>
      <c r="J130" t="s">
        <v>169</v>
      </c>
      <c r="L130" t="str">
        <f t="shared" si="1"/>
        <v/>
      </c>
    </row>
    <row r="131" spans="1:12" x14ac:dyDescent="0.2">
      <c r="A131">
        <v>1868069</v>
      </c>
      <c r="B131">
        <v>7</v>
      </c>
      <c r="C131" t="s">
        <v>290</v>
      </c>
      <c r="D131" t="s">
        <v>282</v>
      </c>
      <c r="E131" s="9" t="s">
        <v>146</v>
      </c>
      <c r="F131" t="s">
        <v>3</v>
      </c>
      <c r="G131" s="9" t="s">
        <v>146</v>
      </c>
      <c r="J131" t="s">
        <v>169</v>
      </c>
      <c r="L131" t="str">
        <f t="shared" ref="L131:L194" si="2">IF(OR(E131="FP",G131="FP"),"FP",IF(AND(E131="TP",E131="TP"),"TP",""))</f>
        <v>TP</v>
      </c>
    </row>
    <row r="132" spans="1:12" x14ac:dyDescent="0.2">
      <c r="A132">
        <v>1868069</v>
      </c>
      <c r="B132">
        <v>7</v>
      </c>
      <c r="C132" t="s">
        <v>290</v>
      </c>
      <c r="D132" t="s">
        <v>48</v>
      </c>
      <c r="E132" s="9" t="s">
        <v>38</v>
      </c>
      <c r="F132" t="s">
        <v>38</v>
      </c>
      <c r="G132" s="9" t="s">
        <v>38</v>
      </c>
      <c r="J132" t="s">
        <v>169</v>
      </c>
      <c r="L132" t="str">
        <f t="shared" si="2"/>
        <v/>
      </c>
    </row>
    <row r="133" spans="1:12" x14ac:dyDescent="0.2">
      <c r="A133">
        <v>1868069</v>
      </c>
      <c r="B133">
        <v>7</v>
      </c>
      <c r="C133" t="s">
        <v>290</v>
      </c>
      <c r="D133" t="s">
        <v>291</v>
      </c>
      <c r="E133" s="9" t="s">
        <v>167</v>
      </c>
      <c r="F133" t="s">
        <v>44</v>
      </c>
      <c r="G133" s="9" t="s">
        <v>167</v>
      </c>
      <c r="J133" t="s">
        <v>169</v>
      </c>
      <c r="L133" t="str">
        <f t="shared" si="2"/>
        <v>FP</v>
      </c>
    </row>
    <row r="134" spans="1:12" x14ac:dyDescent="0.2">
      <c r="A134">
        <v>1868069</v>
      </c>
      <c r="B134">
        <v>7</v>
      </c>
      <c r="C134" t="s">
        <v>290</v>
      </c>
      <c r="D134" t="s">
        <v>267</v>
      </c>
      <c r="E134" s="9" t="s">
        <v>38</v>
      </c>
      <c r="F134" t="s">
        <v>38</v>
      </c>
      <c r="G134" s="9" t="s">
        <v>38</v>
      </c>
      <c r="J134" t="s">
        <v>169</v>
      </c>
      <c r="L134" t="str">
        <f t="shared" si="2"/>
        <v/>
      </c>
    </row>
    <row r="135" spans="1:12" x14ac:dyDescent="0.2">
      <c r="A135">
        <v>1868069</v>
      </c>
      <c r="B135">
        <v>8</v>
      </c>
      <c r="C135" t="s">
        <v>292</v>
      </c>
      <c r="D135" t="s">
        <v>285</v>
      </c>
      <c r="E135" s="9" t="s">
        <v>146</v>
      </c>
      <c r="F135" t="s">
        <v>3</v>
      </c>
      <c r="G135" s="9" t="s">
        <v>146</v>
      </c>
      <c r="H135" t="s">
        <v>250</v>
      </c>
      <c r="I135" t="s">
        <v>251</v>
      </c>
      <c r="J135" t="s">
        <v>8</v>
      </c>
      <c r="L135" t="str">
        <f t="shared" si="2"/>
        <v>TP</v>
      </c>
    </row>
    <row r="136" spans="1:12" x14ac:dyDescent="0.2">
      <c r="A136">
        <v>1868069</v>
      </c>
      <c r="B136">
        <v>8</v>
      </c>
      <c r="C136" t="s">
        <v>292</v>
      </c>
      <c r="D136" t="s">
        <v>48</v>
      </c>
      <c r="E136" s="9" t="s">
        <v>38</v>
      </c>
      <c r="F136" t="s">
        <v>38</v>
      </c>
      <c r="G136" s="9" t="s">
        <v>38</v>
      </c>
      <c r="J136" t="s">
        <v>169</v>
      </c>
      <c r="L136" t="str">
        <f t="shared" si="2"/>
        <v/>
      </c>
    </row>
    <row r="137" spans="1:12" x14ac:dyDescent="0.2">
      <c r="A137">
        <v>1868069</v>
      </c>
      <c r="B137">
        <v>9</v>
      </c>
      <c r="C137" t="s">
        <v>293</v>
      </c>
      <c r="D137" t="s">
        <v>285</v>
      </c>
      <c r="E137" s="9" t="s">
        <v>146</v>
      </c>
      <c r="F137" t="s">
        <v>3</v>
      </c>
      <c r="G137" s="9" t="s">
        <v>146</v>
      </c>
      <c r="H137" t="s">
        <v>250</v>
      </c>
      <c r="I137" t="s">
        <v>251</v>
      </c>
      <c r="J137" t="s">
        <v>8</v>
      </c>
      <c r="L137" t="str">
        <f t="shared" si="2"/>
        <v>TP</v>
      </c>
    </row>
    <row r="138" spans="1:12" x14ac:dyDescent="0.2">
      <c r="A138">
        <v>1868069</v>
      </c>
      <c r="B138">
        <v>9</v>
      </c>
      <c r="C138" t="s">
        <v>293</v>
      </c>
      <c r="D138" t="s">
        <v>267</v>
      </c>
      <c r="E138" s="9" t="s">
        <v>38</v>
      </c>
      <c r="F138" t="s">
        <v>38</v>
      </c>
      <c r="G138" s="9" t="s">
        <v>38</v>
      </c>
      <c r="J138" t="s">
        <v>169</v>
      </c>
      <c r="L138" t="str">
        <f t="shared" si="2"/>
        <v/>
      </c>
    </row>
    <row r="139" spans="1:12" x14ac:dyDescent="0.2">
      <c r="A139">
        <v>1868069</v>
      </c>
      <c r="B139">
        <v>10</v>
      </c>
      <c r="C139" t="s">
        <v>294</v>
      </c>
      <c r="D139" t="s">
        <v>69</v>
      </c>
      <c r="E139" s="9" t="s">
        <v>38</v>
      </c>
      <c r="F139" t="s">
        <v>38</v>
      </c>
      <c r="G139" s="9" t="s">
        <v>38</v>
      </c>
      <c r="J139" t="s">
        <v>169</v>
      </c>
      <c r="L139" t="str">
        <f t="shared" si="2"/>
        <v/>
      </c>
    </row>
    <row r="140" spans="1:12" x14ac:dyDescent="0.2">
      <c r="A140">
        <v>1868069</v>
      </c>
      <c r="B140">
        <v>10</v>
      </c>
      <c r="C140" t="s">
        <v>294</v>
      </c>
      <c r="D140" t="s">
        <v>69</v>
      </c>
      <c r="E140" s="9" t="s">
        <v>38</v>
      </c>
      <c r="F140" t="s">
        <v>38</v>
      </c>
      <c r="G140" s="9" t="s">
        <v>38</v>
      </c>
      <c r="J140" t="s">
        <v>169</v>
      </c>
      <c r="L140" t="str">
        <f t="shared" si="2"/>
        <v/>
      </c>
    </row>
    <row r="141" spans="1:12" x14ac:dyDescent="0.2">
      <c r="A141">
        <v>1868069</v>
      </c>
      <c r="B141">
        <v>10</v>
      </c>
      <c r="C141" t="s">
        <v>294</v>
      </c>
      <c r="D141" t="s">
        <v>69</v>
      </c>
      <c r="E141" s="9" t="s">
        <v>38</v>
      </c>
      <c r="F141" t="s">
        <v>38</v>
      </c>
      <c r="G141" s="9" t="s">
        <v>38</v>
      </c>
      <c r="J141" t="s">
        <v>169</v>
      </c>
      <c r="L141" t="str">
        <f t="shared" si="2"/>
        <v/>
      </c>
    </row>
    <row r="142" spans="1:12" x14ac:dyDescent="0.2">
      <c r="A142">
        <v>1868069</v>
      </c>
      <c r="B142">
        <v>10</v>
      </c>
      <c r="C142" t="s">
        <v>294</v>
      </c>
      <c r="D142" t="s">
        <v>267</v>
      </c>
      <c r="E142" s="9" t="s">
        <v>38</v>
      </c>
      <c r="F142" t="s">
        <v>38</v>
      </c>
      <c r="G142" s="9" t="s">
        <v>38</v>
      </c>
      <c r="J142" t="s">
        <v>169</v>
      </c>
      <c r="L142" t="str">
        <f t="shared" si="2"/>
        <v/>
      </c>
    </row>
    <row r="143" spans="1:12" x14ac:dyDescent="0.2">
      <c r="A143">
        <v>1868069</v>
      </c>
      <c r="B143">
        <v>10</v>
      </c>
      <c r="C143" t="s">
        <v>294</v>
      </c>
      <c r="D143" t="s">
        <v>295</v>
      </c>
      <c r="E143" s="9" t="s">
        <v>146</v>
      </c>
      <c r="F143" t="s">
        <v>3</v>
      </c>
      <c r="G143" s="9" t="s">
        <v>146</v>
      </c>
      <c r="H143" t="s">
        <v>296</v>
      </c>
      <c r="I143" t="s">
        <v>295</v>
      </c>
      <c r="J143" t="s">
        <v>8</v>
      </c>
      <c r="L143" t="str">
        <f t="shared" si="2"/>
        <v>TP</v>
      </c>
    </row>
    <row r="144" spans="1:12" x14ac:dyDescent="0.2">
      <c r="A144">
        <v>1868069</v>
      </c>
      <c r="B144">
        <v>10</v>
      </c>
      <c r="C144" t="s">
        <v>294</v>
      </c>
      <c r="D144" t="s">
        <v>297</v>
      </c>
      <c r="E144" s="9" t="s">
        <v>146</v>
      </c>
      <c r="F144" t="s">
        <v>3</v>
      </c>
      <c r="G144" s="9" t="s">
        <v>146</v>
      </c>
      <c r="H144" t="s">
        <v>298</v>
      </c>
      <c r="I144" t="s">
        <v>299</v>
      </c>
      <c r="J144" t="s">
        <v>8</v>
      </c>
      <c r="L144" t="str">
        <f t="shared" si="2"/>
        <v>TP</v>
      </c>
    </row>
    <row r="145" spans="1:12" x14ac:dyDescent="0.2">
      <c r="A145">
        <v>1868069</v>
      </c>
      <c r="B145">
        <v>10</v>
      </c>
      <c r="C145" t="s">
        <v>294</v>
      </c>
      <c r="D145" t="s">
        <v>300</v>
      </c>
      <c r="E145" s="9" t="s">
        <v>146</v>
      </c>
      <c r="F145" t="s">
        <v>61</v>
      </c>
      <c r="G145" s="9" t="s">
        <v>146</v>
      </c>
      <c r="J145" t="s">
        <v>169</v>
      </c>
      <c r="L145" t="str">
        <f t="shared" si="2"/>
        <v>TP</v>
      </c>
    </row>
    <row r="146" spans="1:12" x14ac:dyDescent="0.2">
      <c r="A146">
        <v>1868069</v>
      </c>
      <c r="B146">
        <v>10</v>
      </c>
      <c r="C146" t="s">
        <v>294</v>
      </c>
      <c r="D146" t="s">
        <v>301</v>
      </c>
      <c r="E146" s="9" t="s">
        <v>146</v>
      </c>
      <c r="F146" t="s">
        <v>61</v>
      </c>
      <c r="G146" s="9" t="s">
        <v>146</v>
      </c>
      <c r="J146" t="s">
        <v>10</v>
      </c>
      <c r="L146" t="str">
        <f t="shared" si="2"/>
        <v>TP</v>
      </c>
    </row>
    <row r="147" spans="1:12" x14ac:dyDescent="0.2">
      <c r="A147">
        <v>1868069</v>
      </c>
      <c r="B147">
        <v>10</v>
      </c>
      <c r="C147" t="s">
        <v>294</v>
      </c>
      <c r="D147" t="s">
        <v>302</v>
      </c>
      <c r="E147" s="9" t="s">
        <v>521</v>
      </c>
      <c r="F147" t="s">
        <v>3</v>
      </c>
      <c r="G147" s="9" t="s">
        <v>521</v>
      </c>
      <c r="H147" t="s">
        <v>298</v>
      </c>
      <c r="I147" t="s">
        <v>299</v>
      </c>
      <c r="J147" t="s">
        <v>8</v>
      </c>
      <c r="L147" t="str">
        <f t="shared" si="2"/>
        <v/>
      </c>
    </row>
    <row r="148" spans="1:12" x14ac:dyDescent="0.2">
      <c r="A148">
        <v>1868069</v>
      </c>
      <c r="B148">
        <v>11</v>
      </c>
      <c r="C148" t="s">
        <v>303</v>
      </c>
      <c r="D148" t="s">
        <v>48</v>
      </c>
      <c r="E148" s="9" t="s">
        <v>38</v>
      </c>
      <c r="F148" t="s">
        <v>38</v>
      </c>
      <c r="G148" s="9" t="s">
        <v>38</v>
      </c>
      <c r="J148" t="s">
        <v>169</v>
      </c>
      <c r="L148" t="str">
        <f t="shared" si="2"/>
        <v/>
      </c>
    </row>
    <row r="149" spans="1:12" x14ac:dyDescent="0.2">
      <c r="A149">
        <v>1868069</v>
      </c>
      <c r="B149">
        <v>11</v>
      </c>
      <c r="C149" t="s">
        <v>303</v>
      </c>
      <c r="D149" t="s">
        <v>48</v>
      </c>
      <c r="E149" s="9" t="s">
        <v>38</v>
      </c>
      <c r="F149" t="s">
        <v>38</v>
      </c>
      <c r="G149" s="9" t="s">
        <v>38</v>
      </c>
      <c r="J149" t="s">
        <v>169</v>
      </c>
      <c r="L149" t="str">
        <f t="shared" si="2"/>
        <v/>
      </c>
    </row>
    <row r="150" spans="1:12" x14ac:dyDescent="0.2">
      <c r="A150">
        <v>2111348</v>
      </c>
      <c r="B150">
        <v>0</v>
      </c>
      <c r="C150" t="s">
        <v>304</v>
      </c>
      <c r="D150" t="s">
        <v>305</v>
      </c>
      <c r="E150" s="9" t="s">
        <v>38</v>
      </c>
      <c r="F150" t="s">
        <v>38</v>
      </c>
      <c r="G150" s="9" t="s">
        <v>38</v>
      </c>
      <c r="J150" t="s">
        <v>169</v>
      </c>
      <c r="L150" t="str">
        <f t="shared" si="2"/>
        <v/>
      </c>
    </row>
    <row r="151" spans="1:12" x14ac:dyDescent="0.2">
      <c r="A151">
        <v>2111348</v>
      </c>
      <c r="B151">
        <v>0</v>
      </c>
      <c r="C151" t="s">
        <v>304</v>
      </c>
      <c r="D151" s="10" t="s">
        <v>306</v>
      </c>
      <c r="E151" s="9" t="s">
        <v>146</v>
      </c>
      <c r="F151" t="s">
        <v>44</v>
      </c>
      <c r="G151" s="9" t="s">
        <v>146</v>
      </c>
      <c r="J151" t="s">
        <v>10</v>
      </c>
      <c r="L151" t="str">
        <f t="shared" si="2"/>
        <v>TP</v>
      </c>
    </row>
    <row r="152" spans="1:12" x14ac:dyDescent="0.2">
      <c r="A152">
        <v>2111348</v>
      </c>
      <c r="B152">
        <v>1</v>
      </c>
      <c r="C152" t="s">
        <v>307</v>
      </c>
      <c r="D152" t="s">
        <v>308</v>
      </c>
      <c r="E152" s="9" t="s">
        <v>38</v>
      </c>
      <c r="F152" t="s">
        <v>38</v>
      </c>
      <c r="G152" s="9" t="s">
        <v>38</v>
      </c>
      <c r="L152" t="str">
        <f t="shared" si="2"/>
        <v/>
      </c>
    </row>
    <row r="153" spans="1:12" x14ac:dyDescent="0.2">
      <c r="A153">
        <v>2111348</v>
      </c>
      <c r="B153">
        <v>1</v>
      </c>
      <c r="C153" t="s">
        <v>307</v>
      </c>
      <c r="D153" t="s">
        <v>267</v>
      </c>
      <c r="E153" s="9" t="s">
        <v>38</v>
      </c>
      <c r="F153" t="s">
        <v>38</v>
      </c>
      <c r="G153" s="9" t="s">
        <v>38</v>
      </c>
      <c r="J153" t="s">
        <v>169</v>
      </c>
      <c r="L153" t="str">
        <f t="shared" si="2"/>
        <v/>
      </c>
    </row>
    <row r="154" spans="1:12" x14ac:dyDescent="0.2">
      <c r="A154">
        <v>2111348</v>
      </c>
      <c r="B154">
        <v>1</v>
      </c>
      <c r="C154" t="s">
        <v>307</v>
      </c>
      <c r="D154" t="s">
        <v>69</v>
      </c>
      <c r="E154" s="9" t="s">
        <v>38</v>
      </c>
      <c r="F154" t="s">
        <v>38</v>
      </c>
      <c r="G154" s="9" t="s">
        <v>38</v>
      </c>
      <c r="J154" t="s">
        <v>169</v>
      </c>
      <c r="L154" t="str">
        <f t="shared" si="2"/>
        <v/>
      </c>
    </row>
    <row r="155" spans="1:12" x14ac:dyDescent="0.2">
      <c r="A155">
        <v>2111348</v>
      </c>
      <c r="B155">
        <v>1</v>
      </c>
      <c r="C155" t="s">
        <v>307</v>
      </c>
      <c r="D155" t="s">
        <v>309</v>
      </c>
      <c r="E155" s="9" t="s">
        <v>38</v>
      </c>
      <c r="F155" t="s">
        <v>3</v>
      </c>
      <c r="G155" s="9" t="s">
        <v>38</v>
      </c>
      <c r="H155" t="s">
        <v>310</v>
      </c>
      <c r="I155" t="s">
        <v>36</v>
      </c>
      <c r="J155" t="s">
        <v>8</v>
      </c>
      <c r="L155" t="str">
        <f t="shared" si="2"/>
        <v/>
      </c>
    </row>
    <row r="156" spans="1:12" x14ac:dyDescent="0.2">
      <c r="A156">
        <v>2111348</v>
      </c>
      <c r="B156">
        <v>2</v>
      </c>
      <c r="C156" t="s">
        <v>311</v>
      </c>
      <c r="D156" t="s">
        <v>312</v>
      </c>
      <c r="E156" s="9" t="s">
        <v>38</v>
      </c>
      <c r="F156" t="s">
        <v>38</v>
      </c>
      <c r="G156" s="9" t="s">
        <v>38</v>
      </c>
      <c r="L156" t="str">
        <f t="shared" si="2"/>
        <v/>
      </c>
    </row>
    <row r="157" spans="1:12" x14ac:dyDescent="0.2">
      <c r="A157">
        <v>2111348</v>
      </c>
      <c r="B157">
        <v>2</v>
      </c>
      <c r="C157" t="s">
        <v>311</v>
      </c>
      <c r="D157" t="s">
        <v>69</v>
      </c>
      <c r="E157" s="9" t="s">
        <v>38</v>
      </c>
      <c r="F157" t="s">
        <v>38</v>
      </c>
      <c r="G157" s="9" t="s">
        <v>38</v>
      </c>
      <c r="J157" t="s">
        <v>169</v>
      </c>
      <c r="L157" t="str">
        <f t="shared" si="2"/>
        <v/>
      </c>
    </row>
    <row r="158" spans="1:12" x14ac:dyDescent="0.2">
      <c r="A158">
        <v>2111348</v>
      </c>
      <c r="B158">
        <v>2</v>
      </c>
      <c r="C158" t="s">
        <v>311</v>
      </c>
      <c r="D158" t="s">
        <v>69</v>
      </c>
      <c r="E158" s="9" t="s">
        <v>38</v>
      </c>
      <c r="F158" t="s">
        <v>38</v>
      </c>
      <c r="G158" s="9" t="s">
        <v>38</v>
      </c>
      <c r="J158" t="s">
        <v>169</v>
      </c>
      <c r="L158" t="str">
        <f t="shared" si="2"/>
        <v/>
      </c>
    </row>
    <row r="159" spans="1:12" x14ac:dyDescent="0.2">
      <c r="A159">
        <v>2111348</v>
      </c>
      <c r="B159">
        <v>2</v>
      </c>
      <c r="C159" t="s">
        <v>311</v>
      </c>
      <c r="D159" t="s">
        <v>313</v>
      </c>
      <c r="E159" s="9" t="s">
        <v>146</v>
      </c>
      <c r="F159" t="s">
        <v>44</v>
      </c>
      <c r="G159" s="9" t="s">
        <v>146</v>
      </c>
      <c r="J159" t="s">
        <v>169</v>
      </c>
      <c r="L159" t="str">
        <f t="shared" si="2"/>
        <v>TP</v>
      </c>
    </row>
    <row r="160" spans="1:12" x14ac:dyDescent="0.2">
      <c r="A160">
        <v>2111348</v>
      </c>
      <c r="B160">
        <v>2</v>
      </c>
      <c r="C160" t="s">
        <v>311</v>
      </c>
      <c r="D160" t="s">
        <v>227</v>
      </c>
      <c r="E160" s="9" t="s">
        <v>146</v>
      </c>
      <c r="F160" t="s">
        <v>61</v>
      </c>
      <c r="G160" s="9" t="s">
        <v>146</v>
      </c>
      <c r="L160" t="str">
        <f t="shared" si="2"/>
        <v>TP</v>
      </c>
    </row>
    <row r="161" spans="1:12" x14ac:dyDescent="0.2">
      <c r="A161">
        <v>2111348</v>
      </c>
      <c r="B161">
        <v>3</v>
      </c>
      <c r="C161" t="s">
        <v>314</v>
      </c>
      <c r="D161" t="s">
        <v>69</v>
      </c>
      <c r="E161" s="9" t="s">
        <v>38</v>
      </c>
      <c r="F161" t="s">
        <v>38</v>
      </c>
      <c r="G161" s="9" t="s">
        <v>38</v>
      </c>
      <c r="J161" t="s">
        <v>169</v>
      </c>
      <c r="L161" t="str">
        <f t="shared" si="2"/>
        <v/>
      </c>
    </row>
    <row r="162" spans="1:12" x14ac:dyDescent="0.2">
      <c r="A162">
        <v>2111348</v>
      </c>
      <c r="B162">
        <v>3</v>
      </c>
      <c r="C162" t="s">
        <v>314</v>
      </c>
      <c r="D162" t="s">
        <v>69</v>
      </c>
      <c r="E162" s="9" t="s">
        <v>38</v>
      </c>
      <c r="F162" t="s">
        <v>38</v>
      </c>
      <c r="G162" s="9" t="s">
        <v>38</v>
      </c>
      <c r="J162" t="s">
        <v>169</v>
      </c>
      <c r="L162" t="str">
        <f t="shared" si="2"/>
        <v/>
      </c>
    </row>
    <row r="163" spans="1:12" x14ac:dyDescent="0.2">
      <c r="A163">
        <v>2111348</v>
      </c>
      <c r="B163">
        <v>3</v>
      </c>
      <c r="C163" t="s">
        <v>314</v>
      </c>
      <c r="D163" s="10" t="s">
        <v>315</v>
      </c>
      <c r="E163" s="9" t="s">
        <v>146</v>
      </c>
      <c r="F163" t="s">
        <v>99</v>
      </c>
      <c r="G163" s="9" t="s">
        <v>146</v>
      </c>
      <c r="L163" t="str">
        <f t="shared" si="2"/>
        <v>TP</v>
      </c>
    </row>
    <row r="164" spans="1:12" x14ac:dyDescent="0.2">
      <c r="A164">
        <v>2111348</v>
      </c>
      <c r="B164">
        <v>3</v>
      </c>
      <c r="C164" t="s">
        <v>314</v>
      </c>
      <c r="D164" t="s">
        <v>316</v>
      </c>
      <c r="E164" s="9" t="s">
        <v>521</v>
      </c>
      <c r="F164" t="s">
        <v>99</v>
      </c>
      <c r="G164" s="9" t="s">
        <v>521</v>
      </c>
      <c r="L164" t="str">
        <f t="shared" si="2"/>
        <v/>
      </c>
    </row>
    <row r="165" spans="1:12" x14ac:dyDescent="0.2">
      <c r="A165">
        <v>2111348</v>
      </c>
      <c r="B165">
        <v>3</v>
      </c>
      <c r="C165" t="s">
        <v>314</v>
      </c>
      <c r="D165" s="10" t="s">
        <v>317</v>
      </c>
      <c r="E165" s="9" t="s">
        <v>146</v>
      </c>
      <c r="F165" t="s">
        <v>99</v>
      </c>
      <c r="G165" s="9" t="s">
        <v>146</v>
      </c>
      <c r="L165" t="str">
        <f t="shared" si="2"/>
        <v>TP</v>
      </c>
    </row>
    <row r="166" spans="1:12" x14ac:dyDescent="0.2">
      <c r="A166">
        <v>2111348</v>
      </c>
      <c r="B166">
        <v>4</v>
      </c>
      <c r="C166" t="s">
        <v>318</v>
      </c>
      <c r="D166" t="s">
        <v>227</v>
      </c>
      <c r="E166" s="9" t="s">
        <v>146</v>
      </c>
      <c r="F166" t="s">
        <v>61</v>
      </c>
      <c r="G166" s="9" t="s">
        <v>146</v>
      </c>
      <c r="L166" t="str">
        <f t="shared" si="2"/>
        <v>TP</v>
      </c>
    </row>
    <row r="167" spans="1:12" x14ac:dyDescent="0.2">
      <c r="A167">
        <v>2111348</v>
      </c>
      <c r="B167">
        <v>4</v>
      </c>
      <c r="C167" t="s">
        <v>318</v>
      </c>
      <c r="D167" t="s">
        <v>227</v>
      </c>
      <c r="E167" s="9" t="s">
        <v>146</v>
      </c>
      <c r="F167" t="s">
        <v>61</v>
      </c>
      <c r="G167" s="9" t="s">
        <v>146</v>
      </c>
      <c r="L167" t="str">
        <f t="shared" si="2"/>
        <v>TP</v>
      </c>
    </row>
    <row r="168" spans="1:12" x14ac:dyDescent="0.2">
      <c r="A168">
        <v>2111348</v>
      </c>
      <c r="B168">
        <v>4</v>
      </c>
      <c r="C168" t="s">
        <v>318</v>
      </c>
      <c r="D168" t="s">
        <v>308</v>
      </c>
      <c r="E168" s="9" t="s">
        <v>38</v>
      </c>
      <c r="F168" t="s">
        <v>38</v>
      </c>
      <c r="G168" s="9" t="s">
        <v>38</v>
      </c>
      <c r="L168" t="str">
        <f t="shared" si="2"/>
        <v/>
      </c>
    </row>
    <row r="169" spans="1:12" x14ac:dyDescent="0.2">
      <c r="A169">
        <v>2111348</v>
      </c>
      <c r="B169">
        <v>4</v>
      </c>
      <c r="C169" t="s">
        <v>318</v>
      </c>
      <c r="D169" t="s">
        <v>319</v>
      </c>
      <c r="E169" s="9" t="s">
        <v>38</v>
      </c>
      <c r="F169" t="s">
        <v>38</v>
      </c>
      <c r="G169" s="9" t="s">
        <v>38</v>
      </c>
      <c r="L169" t="str">
        <f t="shared" si="2"/>
        <v/>
      </c>
    </row>
    <row r="170" spans="1:12" x14ac:dyDescent="0.2">
      <c r="A170">
        <v>2111348</v>
      </c>
      <c r="B170">
        <v>5</v>
      </c>
      <c r="C170" t="s">
        <v>320</v>
      </c>
      <c r="D170" t="s">
        <v>321</v>
      </c>
      <c r="E170" s="9" t="s">
        <v>167</v>
      </c>
      <c r="F170" t="s">
        <v>44</v>
      </c>
      <c r="G170" s="9" t="s">
        <v>167</v>
      </c>
      <c r="J170" t="s">
        <v>10</v>
      </c>
      <c r="L170" t="str">
        <f t="shared" si="2"/>
        <v>FP</v>
      </c>
    </row>
    <row r="171" spans="1:12" x14ac:dyDescent="0.2">
      <c r="A171">
        <v>2111348</v>
      </c>
      <c r="B171">
        <v>5</v>
      </c>
      <c r="C171" t="s">
        <v>320</v>
      </c>
      <c r="D171" t="s">
        <v>227</v>
      </c>
      <c r="E171" s="9" t="s">
        <v>146</v>
      </c>
      <c r="F171" t="s">
        <v>61</v>
      </c>
      <c r="G171" s="9" t="s">
        <v>146</v>
      </c>
      <c r="L171" t="str">
        <f t="shared" si="2"/>
        <v>TP</v>
      </c>
    </row>
    <row r="172" spans="1:12" x14ac:dyDescent="0.2">
      <c r="A172">
        <v>2111348</v>
      </c>
      <c r="B172">
        <v>5</v>
      </c>
      <c r="C172" t="s">
        <v>320</v>
      </c>
      <c r="D172" t="s">
        <v>308</v>
      </c>
      <c r="E172" s="9" t="s">
        <v>38</v>
      </c>
      <c r="F172" t="s">
        <v>38</v>
      </c>
      <c r="G172" s="9" t="s">
        <v>38</v>
      </c>
      <c r="L172" t="str">
        <f t="shared" si="2"/>
        <v/>
      </c>
    </row>
    <row r="173" spans="1:12" x14ac:dyDescent="0.2">
      <c r="A173">
        <v>2413709</v>
      </c>
      <c r="B173">
        <v>0</v>
      </c>
      <c r="C173" t="s">
        <v>322</v>
      </c>
      <c r="D173" t="s">
        <v>522</v>
      </c>
      <c r="E173" s="9" t="s">
        <v>507</v>
      </c>
      <c r="F173" t="s">
        <v>44</v>
      </c>
      <c r="G173" s="9" t="s">
        <v>507</v>
      </c>
      <c r="J173" t="s">
        <v>169</v>
      </c>
      <c r="L173" t="str">
        <f t="shared" si="2"/>
        <v/>
      </c>
    </row>
    <row r="174" spans="1:12" x14ac:dyDescent="0.2">
      <c r="A174">
        <v>2413709</v>
      </c>
      <c r="B174">
        <v>0</v>
      </c>
      <c r="C174" t="s">
        <v>322</v>
      </c>
      <c r="D174" t="s">
        <v>346</v>
      </c>
      <c r="E174" s="9" t="s">
        <v>507</v>
      </c>
      <c r="F174" t="s">
        <v>44</v>
      </c>
      <c r="G174" s="9" t="s">
        <v>507</v>
      </c>
      <c r="L174" t="str">
        <f t="shared" si="2"/>
        <v/>
      </c>
    </row>
    <row r="175" spans="1:12" x14ac:dyDescent="0.2">
      <c r="A175">
        <v>2413709</v>
      </c>
      <c r="B175">
        <v>0</v>
      </c>
      <c r="C175" t="s">
        <v>322</v>
      </c>
      <c r="D175" t="s">
        <v>324</v>
      </c>
      <c r="E175" s="9" t="s">
        <v>146</v>
      </c>
      <c r="F175" t="s">
        <v>44</v>
      </c>
      <c r="G175" s="9" t="s">
        <v>146</v>
      </c>
      <c r="H175" t="s">
        <v>325</v>
      </c>
      <c r="I175" t="s">
        <v>326</v>
      </c>
      <c r="J175" t="s">
        <v>8</v>
      </c>
      <c r="L175" t="str">
        <f t="shared" si="2"/>
        <v>TP</v>
      </c>
    </row>
    <row r="176" spans="1:12" x14ac:dyDescent="0.2">
      <c r="A176">
        <v>2413709</v>
      </c>
      <c r="B176">
        <v>0</v>
      </c>
      <c r="C176" t="s">
        <v>322</v>
      </c>
      <c r="D176" t="s">
        <v>327</v>
      </c>
      <c r="E176" s="9" t="s">
        <v>146</v>
      </c>
      <c r="F176" t="s">
        <v>44</v>
      </c>
      <c r="G176" s="9" t="s">
        <v>146</v>
      </c>
      <c r="J176" t="s">
        <v>169</v>
      </c>
      <c r="L176" t="str">
        <f t="shared" si="2"/>
        <v>TP</v>
      </c>
    </row>
    <row r="177" spans="1:12" x14ac:dyDescent="0.2">
      <c r="A177">
        <v>2413709</v>
      </c>
      <c r="B177">
        <v>1</v>
      </c>
      <c r="C177" t="s">
        <v>328</v>
      </c>
      <c r="D177" t="s">
        <v>329</v>
      </c>
      <c r="E177" s="9" t="s">
        <v>507</v>
      </c>
      <c r="F177" t="s">
        <v>44</v>
      </c>
      <c r="G177" s="9" t="s">
        <v>507</v>
      </c>
      <c r="J177" t="s">
        <v>10</v>
      </c>
      <c r="L177" t="str">
        <f t="shared" si="2"/>
        <v/>
      </c>
    </row>
    <row r="178" spans="1:12" x14ac:dyDescent="0.2">
      <c r="A178">
        <v>2413709</v>
      </c>
      <c r="B178">
        <v>1</v>
      </c>
      <c r="C178" t="s">
        <v>328</v>
      </c>
      <c r="D178" t="s">
        <v>330</v>
      </c>
      <c r="E178" s="9" t="s">
        <v>507</v>
      </c>
      <c r="F178" t="s">
        <v>44</v>
      </c>
      <c r="G178" s="9" t="s">
        <v>507</v>
      </c>
      <c r="J178" t="s">
        <v>10</v>
      </c>
      <c r="L178" t="str">
        <f t="shared" si="2"/>
        <v/>
      </c>
    </row>
    <row r="179" spans="1:12" x14ac:dyDescent="0.2">
      <c r="A179">
        <v>2413709</v>
      </c>
      <c r="B179">
        <v>2</v>
      </c>
      <c r="C179" t="s">
        <v>331</v>
      </c>
      <c r="E179" s="9" t="s">
        <v>169</v>
      </c>
      <c r="G179" s="9" t="s">
        <v>169</v>
      </c>
      <c r="J179" t="s">
        <v>169</v>
      </c>
      <c r="L179" t="str">
        <f t="shared" si="2"/>
        <v/>
      </c>
    </row>
    <row r="180" spans="1:12" x14ac:dyDescent="0.2">
      <c r="A180">
        <v>2413709</v>
      </c>
      <c r="B180">
        <v>3</v>
      </c>
      <c r="C180" t="s">
        <v>332</v>
      </c>
      <c r="E180" s="9" t="s">
        <v>169</v>
      </c>
      <c r="G180" s="9" t="s">
        <v>169</v>
      </c>
      <c r="J180" t="s">
        <v>169</v>
      </c>
      <c r="L180" t="str">
        <f t="shared" si="2"/>
        <v/>
      </c>
    </row>
    <row r="181" spans="1:12" x14ac:dyDescent="0.2">
      <c r="A181">
        <v>2413709</v>
      </c>
      <c r="B181">
        <v>4</v>
      </c>
      <c r="C181" t="s">
        <v>333</v>
      </c>
      <c r="D181" t="s">
        <v>334</v>
      </c>
      <c r="E181" s="9" t="s">
        <v>38</v>
      </c>
      <c r="F181" t="s">
        <v>38</v>
      </c>
      <c r="G181" s="9" t="s">
        <v>38</v>
      </c>
      <c r="L181" t="str">
        <f t="shared" si="2"/>
        <v/>
      </c>
    </row>
    <row r="182" spans="1:12" x14ac:dyDescent="0.2">
      <c r="A182">
        <v>2413709</v>
      </c>
      <c r="B182">
        <v>4</v>
      </c>
      <c r="C182" t="s">
        <v>333</v>
      </c>
      <c r="D182" t="s">
        <v>335</v>
      </c>
      <c r="E182" s="9" t="s">
        <v>146</v>
      </c>
      <c r="F182" t="s">
        <v>44</v>
      </c>
      <c r="G182" s="9" t="s">
        <v>146</v>
      </c>
      <c r="H182" t="s">
        <v>325</v>
      </c>
      <c r="I182" t="s">
        <v>326</v>
      </c>
      <c r="J182" t="s">
        <v>8</v>
      </c>
      <c r="K182" t="s">
        <v>524</v>
      </c>
      <c r="L182" t="str">
        <f t="shared" si="2"/>
        <v>TP</v>
      </c>
    </row>
    <row r="183" spans="1:12" x14ac:dyDescent="0.2">
      <c r="A183">
        <v>2413709</v>
      </c>
      <c r="B183">
        <v>4</v>
      </c>
      <c r="C183" t="s">
        <v>333</v>
      </c>
      <c r="D183" t="s">
        <v>336</v>
      </c>
      <c r="E183" s="9" t="s">
        <v>146</v>
      </c>
      <c r="F183" t="s">
        <v>44</v>
      </c>
      <c r="G183" s="9" t="s">
        <v>146</v>
      </c>
      <c r="J183" t="s">
        <v>169</v>
      </c>
      <c r="L183" t="str">
        <f t="shared" si="2"/>
        <v>TP</v>
      </c>
    </row>
    <row r="184" spans="1:12" x14ac:dyDescent="0.2">
      <c r="A184">
        <v>2413709</v>
      </c>
      <c r="B184">
        <v>5</v>
      </c>
      <c r="C184" t="s">
        <v>337</v>
      </c>
      <c r="D184" t="s">
        <v>324</v>
      </c>
      <c r="E184" s="9" t="s">
        <v>146</v>
      </c>
      <c r="F184" t="s">
        <v>44</v>
      </c>
      <c r="G184" s="9" t="s">
        <v>146</v>
      </c>
      <c r="H184" t="s">
        <v>325</v>
      </c>
      <c r="I184" t="s">
        <v>326</v>
      </c>
      <c r="J184" t="s">
        <v>8</v>
      </c>
      <c r="L184" t="str">
        <f t="shared" si="2"/>
        <v>TP</v>
      </c>
    </row>
    <row r="185" spans="1:12" x14ac:dyDescent="0.2">
      <c r="A185">
        <v>2413709</v>
      </c>
      <c r="B185">
        <v>5</v>
      </c>
      <c r="C185" t="s">
        <v>337</v>
      </c>
      <c r="D185" t="s">
        <v>338</v>
      </c>
      <c r="E185" s="9" t="s">
        <v>146</v>
      </c>
      <c r="F185" t="s">
        <v>44</v>
      </c>
      <c r="G185" s="9" t="s">
        <v>146</v>
      </c>
      <c r="J185" t="s">
        <v>169</v>
      </c>
      <c r="L185" t="str">
        <f t="shared" si="2"/>
        <v>TP</v>
      </c>
    </row>
    <row r="186" spans="1:12" x14ac:dyDescent="0.2">
      <c r="A186">
        <v>2413709</v>
      </c>
      <c r="B186">
        <v>5</v>
      </c>
      <c r="C186" t="s">
        <v>337</v>
      </c>
      <c r="D186" t="s">
        <v>339</v>
      </c>
      <c r="E186" s="9" t="s">
        <v>38</v>
      </c>
      <c r="F186" t="s">
        <v>38</v>
      </c>
      <c r="G186" s="9" t="s">
        <v>38</v>
      </c>
      <c r="L186" t="str">
        <f t="shared" si="2"/>
        <v/>
      </c>
    </row>
    <row r="187" spans="1:12" x14ac:dyDescent="0.2">
      <c r="A187">
        <v>2413709</v>
      </c>
      <c r="B187">
        <v>6</v>
      </c>
      <c r="C187" t="s">
        <v>340</v>
      </c>
      <c r="D187" t="s">
        <v>341</v>
      </c>
      <c r="E187" s="9" t="s">
        <v>507</v>
      </c>
      <c r="F187" t="s">
        <v>44</v>
      </c>
      <c r="G187" s="9" t="s">
        <v>507</v>
      </c>
      <c r="J187" t="s">
        <v>169</v>
      </c>
      <c r="K187" t="s">
        <v>523</v>
      </c>
      <c r="L187" t="str">
        <f t="shared" si="2"/>
        <v/>
      </c>
    </row>
    <row r="188" spans="1:12" x14ac:dyDescent="0.2">
      <c r="A188">
        <v>2413709</v>
      </c>
      <c r="B188">
        <v>6</v>
      </c>
      <c r="C188" t="s">
        <v>340</v>
      </c>
      <c r="D188" t="s">
        <v>342</v>
      </c>
      <c r="E188" s="9" t="s">
        <v>151</v>
      </c>
      <c r="F188" t="s">
        <v>44</v>
      </c>
      <c r="G188" s="9" t="s">
        <v>151</v>
      </c>
      <c r="J188" t="s">
        <v>169</v>
      </c>
      <c r="L188" t="str">
        <f t="shared" si="2"/>
        <v/>
      </c>
    </row>
    <row r="189" spans="1:12" x14ac:dyDescent="0.2">
      <c r="A189">
        <v>2413709</v>
      </c>
      <c r="B189">
        <v>6</v>
      </c>
      <c r="C189" t="s">
        <v>340</v>
      </c>
      <c r="D189" t="s">
        <v>323</v>
      </c>
      <c r="E189" s="9" t="s">
        <v>151</v>
      </c>
      <c r="F189" t="s">
        <v>44</v>
      </c>
      <c r="G189" s="9" t="s">
        <v>151</v>
      </c>
      <c r="J189" t="s">
        <v>169</v>
      </c>
      <c r="L189" t="str">
        <f t="shared" si="2"/>
        <v/>
      </c>
    </row>
    <row r="190" spans="1:12" x14ac:dyDescent="0.2">
      <c r="A190">
        <v>2413709</v>
      </c>
      <c r="B190">
        <v>6</v>
      </c>
      <c r="C190" t="s">
        <v>340</v>
      </c>
      <c r="D190" t="s">
        <v>323</v>
      </c>
      <c r="E190" s="9" t="s">
        <v>151</v>
      </c>
      <c r="F190" t="s">
        <v>44</v>
      </c>
      <c r="G190" s="9" t="s">
        <v>151</v>
      </c>
      <c r="J190" t="s">
        <v>169</v>
      </c>
      <c r="L190" t="str">
        <f t="shared" si="2"/>
        <v/>
      </c>
    </row>
    <row r="191" spans="1:12" x14ac:dyDescent="0.2">
      <c r="A191">
        <v>2413709</v>
      </c>
      <c r="B191">
        <v>6</v>
      </c>
      <c r="C191" t="s">
        <v>340</v>
      </c>
      <c r="D191" t="s">
        <v>324</v>
      </c>
      <c r="E191" s="9" t="s">
        <v>146</v>
      </c>
      <c r="F191" t="s">
        <v>44</v>
      </c>
      <c r="G191" s="9" t="s">
        <v>146</v>
      </c>
      <c r="H191" t="s">
        <v>325</v>
      </c>
      <c r="I191" t="s">
        <v>326</v>
      </c>
      <c r="J191" t="s">
        <v>8</v>
      </c>
      <c r="L191" t="str">
        <f t="shared" si="2"/>
        <v>TP</v>
      </c>
    </row>
    <row r="192" spans="1:12" x14ac:dyDescent="0.2">
      <c r="A192">
        <v>2413709</v>
      </c>
      <c r="B192">
        <v>7</v>
      </c>
      <c r="C192" t="s">
        <v>343</v>
      </c>
      <c r="D192" t="s">
        <v>344</v>
      </c>
      <c r="E192" s="9" t="s">
        <v>38</v>
      </c>
      <c r="F192" t="s">
        <v>38</v>
      </c>
      <c r="G192" s="9" t="s">
        <v>38</v>
      </c>
      <c r="L192" t="str">
        <f t="shared" si="2"/>
        <v/>
      </c>
    </row>
    <row r="193" spans="1:12" x14ac:dyDescent="0.2">
      <c r="A193">
        <v>2413709</v>
      </c>
      <c r="B193">
        <v>8</v>
      </c>
      <c r="C193" t="s">
        <v>345</v>
      </c>
      <c r="D193" t="s">
        <v>346</v>
      </c>
      <c r="E193" s="9" t="s">
        <v>507</v>
      </c>
      <c r="F193" t="s">
        <v>44</v>
      </c>
      <c r="G193" s="9" t="s">
        <v>507</v>
      </c>
      <c r="J193" t="s">
        <v>169</v>
      </c>
      <c r="L193" t="str">
        <f t="shared" si="2"/>
        <v/>
      </c>
    </row>
    <row r="194" spans="1:12" x14ac:dyDescent="0.2">
      <c r="A194">
        <v>2426269</v>
      </c>
      <c r="B194">
        <v>0</v>
      </c>
      <c r="C194" t="s">
        <v>347</v>
      </c>
      <c r="D194" t="s">
        <v>348</v>
      </c>
      <c r="E194" s="9" t="s">
        <v>146</v>
      </c>
      <c r="F194" t="s">
        <v>44</v>
      </c>
      <c r="G194" s="9" t="s">
        <v>146</v>
      </c>
      <c r="H194" t="s">
        <v>349</v>
      </c>
      <c r="I194" t="s">
        <v>350</v>
      </c>
      <c r="J194" t="s">
        <v>8</v>
      </c>
      <c r="L194" t="str">
        <f t="shared" si="2"/>
        <v>TP</v>
      </c>
    </row>
    <row r="195" spans="1:12" x14ac:dyDescent="0.2">
      <c r="A195">
        <v>2426269</v>
      </c>
      <c r="B195">
        <v>0</v>
      </c>
      <c r="C195" t="s">
        <v>347</v>
      </c>
      <c r="D195" t="s">
        <v>351</v>
      </c>
      <c r="E195" s="9" t="s">
        <v>38</v>
      </c>
      <c r="F195" t="s">
        <v>38</v>
      </c>
      <c r="G195" s="9" t="s">
        <v>38</v>
      </c>
      <c r="L195" t="str">
        <f t="shared" ref="L195:L258" si="3">IF(OR(E195="FP",G195="FP"),"FP",IF(AND(E195="TP",E195="TP"),"TP",""))</f>
        <v/>
      </c>
    </row>
    <row r="196" spans="1:12" x14ac:dyDescent="0.2">
      <c r="A196">
        <v>2426269</v>
      </c>
      <c r="B196">
        <v>1</v>
      </c>
      <c r="C196" t="s">
        <v>352</v>
      </c>
      <c r="D196" t="s">
        <v>365</v>
      </c>
      <c r="E196" s="9" t="s">
        <v>146</v>
      </c>
      <c r="F196" t="s">
        <v>44</v>
      </c>
      <c r="G196" s="9" t="s">
        <v>146</v>
      </c>
      <c r="J196" t="s">
        <v>10</v>
      </c>
      <c r="L196" t="str">
        <f t="shared" si="3"/>
        <v>TP</v>
      </c>
    </row>
    <row r="197" spans="1:12" x14ac:dyDescent="0.2">
      <c r="A197">
        <v>2426269</v>
      </c>
      <c r="B197">
        <v>1</v>
      </c>
      <c r="C197" t="s">
        <v>352</v>
      </c>
      <c r="D197" t="s">
        <v>360</v>
      </c>
      <c r="E197" s="9" t="s">
        <v>146</v>
      </c>
      <c r="F197" t="s">
        <v>3</v>
      </c>
      <c r="G197" s="9" t="s">
        <v>146</v>
      </c>
      <c r="K197" t="s">
        <v>530</v>
      </c>
      <c r="L197" t="str">
        <f t="shared" si="3"/>
        <v>TP</v>
      </c>
    </row>
    <row r="198" spans="1:12" x14ac:dyDescent="0.2">
      <c r="A198">
        <v>2426269</v>
      </c>
      <c r="B198">
        <v>2</v>
      </c>
      <c r="C198" t="s">
        <v>353</v>
      </c>
      <c r="E198" s="9" t="s">
        <v>169</v>
      </c>
      <c r="G198" s="9" t="s">
        <v>169</v>
      </c>
      <c r="J198" t="s">
        <v>169</v>
      </c>
      <c r="L198" t="str">
        <f t="shared" si="3"/>
        <v/>
      </c>
    </row>
    <row r="199" spans="1:12" x14ac:dyDescent="0.2">
      <c r="A199">
        <v>2426269</v>
      </c>
      <c r="B199">
        <v>3</v>
      </c>
      <c r="C199" t="s">
        <v>354</v>
      </c>
      <c r="E199" s="9" t="s">
        <v>169</v>
      </c>
      <c r="G199" s="9" t="s">
        <v>169</v>
      </c>
      <c r="J199" t="s">
        <v>169</v>
      </c>
      <c r="L199" t="str">
        <f t="shared" si="3"/>
        <v/>
      </c>
    </row>
    <row r="200" spans="1:12" x14ac:dyDescent="0.2">
      <c r="A200">
        <v>2426269</v>
      </c>
      <c r="B200">
        <v>4</v>
      </c>
      <c r="C200" t="s">
        <v>355</v>
      </c>
      <c r="D200" t="s">
        <v>356</v>
      </c>
      <c r="E200" s="9" t="s">
        <v>146</v>
      </c>
      <c r="F200" t="s">
        <v>44</v>
      </c>
      <c r="G200" s="9" t="s">
        <v>146</v>
      </c>
      <c r="H200" t="s">
        <v>357</v>
      </c>
      <c r="I200" t="s">
        <v>358</v>
      </c>
      <c r="J200" t="s">
        <v>8</v>
      </c>
      <c r="K200" t="s">
        <v>525</v>
      </c>
      <c r="L200" t="str">
        <f t="shared" si="3"/>
        <v>TP</v>
      </c>
    </row>
    <row r="201" spans="1:12" x14ac:dyDescent="0.2">
      <c r="A201">
        <v>2426269</v>
      </c>
      <c r="B201">
        <v>4</v>
      </c>
      <c r="C201" t="s">
        <v>355</v>
      </c>
      <c r="D201" t="s">
        <v>365</v>
      </c>
      <c r="E201" s="9" t="s">
        <v>146</v>
      </c>
      <c r="F201" t="s">
        <v>44</v>
      </c>
      <c r="G201" s="9" t="s">
        <v>146</v>
      </c>
      <c r="J201" t="s">
        <v>10</v>
      </c>
      <c r="K201" t="s">
        <v>526</v>
      </c>
      <c r="L201" t="str">
        <f t="shared" si="3"/>
        <v>TP</v>
      </c>
    </row>
    <row r="202" spans="1:12" x14ac:dyDescent="0.2">
      <c r="A202">
        <v>2426269</v>
      </c>
      <c r="B202">
        <v>4</v>
      </c>
      <c r="C202" t="s">
        <v>355</v>
      </c>
      <c r="D202" t="s">
        <v>360</v>
      </c>
      <c r="E202" s="9" t="s">
        <v>146</v>
      </c>
      <c r="F202" t="s">
        <v>3</v>
      </c>
      <c r="G202" s="9" t="s">
        <v>146</v>
      </c>
      <c r="K202" t="s">
        <v>525</v>
      </c>
      <c r="L202" t="str">
        <f t="shared" si="3"/>
        <v>TP</v>
      </c>
    </row>
    <row r="203" spans="1:12" x14ac:dyDescent="0.2">
      <c r="A203">
        <v>2426269</v>
      </c>
      <c r="B203">
        <v>4</v>
      </c>
      <c r="C203" t="s">
        <v>355</v>
      </c>
      <c r="D203" t="s">
        <v>365</v>
      </c>
      <c r="E203" s="9" t="s">
        <v>146</v>
      </c>
      <c r="F203" t="s">
        <v>44</v>
      </c>
      <c r="G203" s="9" t="s">
        <v>146</v>
      </c>
      <c r="J203" t="s">
        <v>10</v>
      </c>
      <c r="K203" t="s">
        <v>526</v>
      </c>
      <c r="L203" t="str">
        <f t="shared" si="3"/>
        <v>TP</v>
      </c>
    </row>
    <row r="204" spans="1:12" x14ac:dyDescent="0.2">
      <c r="A204">
        <v>2426269</v>
      </c>
      <c r="B204">
        <v>4</v>
      </c>
      <c r="C204" t="s">
        <v>355</v>
      </c>
      <c r="D204" t="s">
        <v>527</v>
      </c>
      <c r="E204" s="9" t="s">
        <v>146</v>
      </c>
      <c r="F204" t="s">
        <v>3</v>
      </c>
      <c r="G204" s="9" t="s">
        <v>146</v>
      </c>
      <c r="L204" t="str">
        <f t="shared" si="3"/>
        <v>TP</v>
      </c>
    </row>
    <row r="205" spans="1:12" x14ac:dyDescent="0.2">
      <c r="A205">
        <v>2426269</v>
      </c>
      <c r="B205">
        <v>4</v>
      </c>
      <c r="C205" t="s">
        <v>355</v>
      </c>
      <c r="D205" t="s">
        <v>365</v>
      </c>
      <c r="E205" s="9" t="s">
        <v>146</v>
      </c>
      <c r="F205" t="s">
        <v>44</v>
      </c>
      <c r="G205" s="9" t="s">
        <v>146</v>
      </c>
      <c r="J205" t="s">
        <v>10</v>
      </c>
      <c r="L205" t="str">
        <f t="shared" si="3"/>
        <v>TP</v>
      </c>
    </row>
    <row r="206" spans="1:12" x14ac:dyDescent="0.2">
      <c r="A206">
        <v>2426269</v>
      </c>
      <c r="B206">
        <v>4</v>
      </c>
      <c r="C206" t="s">
        <v>355</v>
      </c>
      <c r="D206" t="s">
        <v>528</v>
      </c>
      <c r="E206" s="9" t="s">
        <v>146</v>
      </c>
      <c r="F206" t="s">
        <v>3</v>
      </c>
      <c r="G206" s="9" t="s">
        <v>146</v>
      </c>
      <c r="L206" t="str">
        <f t="shared" si="3"/>
        <v>TP</v>
      </c>
    </row>
    <row r="207" spans="1:12" x14ac:dyDescent="0.2">
      <c r="A207">
        <v>2426269</v>
      </c>
      <c r="B207">
        <v>5</v>
      </c>
      <c r="C207" t="s">
        <v>359</v>
      </c>
      <c r="D207" t="s">
        <v>360</v>
      </c>
      <c r="E207" s="9" t="s">
        <v>146</v>
      </c>
      <c r="F207" t="s">
        <v>3</v>
      </c>
      <c r="G207" s="9" t="s">
        <v>146</v>
      </c>
      <c r="J207" t="s">
        <v>10</v>
      </c>
      <c r="L207" t="str">
        <f t="shared" si="3"/>
        <v>TP</v>
      </c>
    </row>
    <row r="208" spans="1:12" x14ac:dyDescent="0.2">
      <c r="A208">
        <v>2426269</v>
      </c>
      <c r="B208">
        <v>5</v>
      </c>
      <c r="C208" t="s">
        <v>359</v>
      </c>
      <c r="D208" t="s">
        <v>361</v>
      </c>
      <c r="E208" s="9" t="s">
        <v>146</v>
      </c>
      <c r="F208" t="s">
        <v>44</v>
      </c>
      <c r="G208" s="9" t="s">
        <v>146</v>
      </c>
      <c r="J208" t="s">
        <v>10</v>
      </c>
      <c r="L208" t="str">
        <f t="shared" si="3"/>
        <v>TP</v>
      </c>
    </row>
    <row r="209" spans="1:13" x14ac:dyDescent="0.2">
      <c r="A209">
        <v>2426269</v>
      </c>
      <c r="B209">
        <v>5</v>
      </c>
      <c r="C209" t="s">
        <v>359</v>
      </c>
      <c r="D209" t="s">
        <v>362</v>
      </c>
      <c r="E209" s="9" t="s">
        <v>146</v>
      </c>
      <c r="F209" t="s">
        <v>44</v>
      </c>
      <c r="G209" s="9" t="s">
        <v>146</v>
      </c>
      <c r="H209" t="s">
        <v>363</v>
      </c>
      <c r="I209" t="s">
        <v>364</v>
      </c>
      <c r="J209" t="s">
        <v>8</v>
      </c>
      <c r="L209" t="str">
        <f t="shared" si="3"/>
        <v>TP</v>
      </c>
    </row>
    <row r="210" spans="1:13" x14ac:dyDescent="0.2">
      <c r="A210">
        <v>2426269</v>
      </c>
      <c r="B210">
        <v>5</v>
      </c>
      <c r="C210" t="s">
        <v>359</v>
      </c>
      <c r="D210" t="s">
        <v>365</v>
      </c>
      <c r="E210" s="9" t="s">
        <v>146</v>
      </c>
      <c r="F210" t="s">
        <v>44</v>
      </c>
      <c r="G210" s="9" t="s">
        <v>146</v>
      </c>
      <c r="H210" t="s">
        <v>357</v>
      </c>
      <c r="I210" t="s">
        <v>358</v>
      </c>
      <c r="J210" t="s">
        <v>8</v>
      </c>
      <c r="L210" t="str">
        <f t="shared" si="3"/>
        <v>TP</v>
      </c>
    </row>
    <row r="211" spans="1:13" x14ac:dyDescent="0.2">
      <c r="A211">
        <v>2426269</v>
      </c>
      <c r="B211">
        <v>5</v>
      </c>
      <c r="C211" t="s">
        <v>359</v>
      </c>
      <c r="D211" t="s">
        <v>366</v>
      </c>
      <c r="E211" s="9" t="s">
        <v>521</v>
      </c>
      <c r="F211" t="s">
        <v>44</v>
      </c>
      <c r="G211" s="9" t="s">
        <v>521</v>
      </c>
      <c r="J211" t="s">
        <v>10</v>
      </c>
      <c r="K211" t="s">
        <v>529</v>
      </c>
      <c r="L211" t="str">
        <f t="shared" si="3"/>
        <v/>
      </c>
      <c r="M211" t="s">
        <v>1991</v>
      </c>
    </row>
    <row r="212" spans="1:13" x14ac:dyDescent="0.2">
      <c r="A212">
        <v>2426269</v>
      </c>
      <c r="B212">
        <v>6</v>
      </c>
      <c r="C212" t="s">
        <v>367</v>
      </c>
      <c r="E212" s="9" t="s">
        <v>169</v>
      </c>
      <c r="G212" s="9" t="s">
        <v>169</v>
      </c>
      <c r="J212" t="s">
        <v>169</v>
      </c>
      <c r="L212" t="str">
        <f t="shared" si="3"/>
        <v/>
      </c>
    </row>
    <row r="213" spans="1:13" x14ac:dyDescent="0.2">
      <c r="A213">
        <v>2426269</v>
      </c>
      <c r="B213">
        <v>7</v>
      </c>
      <c r="C213" t="s">
        <v>45</v>
      </c>
      <c r="E213" s="9" t="s">
        <v>169</v>
      </c>
      <c r="G213" s="9" t="s">
        <v>169</v>
      </c>
      <c r="J213" t="s">
        <v>169</v>
      </c>
      <c r="L213" t="str">
        <f t="shared" si="3"/>
        <v/>
      </c>
    </row>
    <row r="214" spans="1:13" x14ac:dyDescent="0.2">
      <c r="A214">
        <v>2426269</v>
      </c>
      <c r="B214">
        <v>8</v>
      </c>
      <c r="C214" t="s">
        <v>368</v>
      </c>
      <c r="E214" s="9" t="s">
        <v>169</v>
      </c>
      <c r="G214" s="9" t="s">
        <v>169</v>
      </c>
      <c r="J214" t="s">
        <v>169</v>
      </c>
      <c r="L214" t="str">
        <f t="shared" si="3"/>
        <v/>
      </c>
    </row>
    <row r="215" spans="1:13" x14ac:dyDescent="0.2">
      <c r="A215">
        <v>2426269</v>
      </c>
      <c r="B215">
        <v>9</v>
      </c>
      <c r="C215" t="s">
        <v>369</v>
      </c>
      <c r="D215" t="s">
        <v>370</v>
      </c>
      <c r="E215" s="9" t="s">
        <v>146</v>
      </c>
      <c r="F215" t="s">
        <v>61</v>
      </c>
      <c r="G215" s="9" t="s">
        <v>146</v>
      </c>
      <c r="L215" t="str">
        <f t="shared" si="3"/>
        <v>TP</v>
      </c>
    </row>
    <row r="216" spans="1:13" x14ac:dyDescent="0.2">
      <c r="A216">
        <v>2426269</v>
      </c>
      <c r="B216">
        <v>9</v>
      </c>
      <c r="C216" t="s">
        <v>369</v>
      </c>
      <c r="D216" t="s">
        <v>371</v>
      </c>
      <c r="E216" s="9" t="s">
        <v>146</v>
      </c>
      <c r="F216" t="s">
        <v>61</v>
      </c>
      <c r="G216" s="9" t="s">
        <v>146</v>
      </c>
      <c r="L216" t="str">
        <f t="shared" si="3"/>
        <v>TP</v>
      </c>
    </row>
    <row r="217" spans="1:13" x14ac:dyDescent="0.2">
      <c r="A217">
        <v>2426269</v>
      </c>
      <c r="B217">
        <v>10</v>
      </c>
      <c r="C217" t="s">
        <v>372</v>
      </c>
      <c r="D217" t="s">
        <v>373</v>
      </c>
      <c r="E217" s="9" t="s">
        <v>146</v>
      </c>
      <c r="F217" t="s">
        <v>44</v>
      </c>
      <c r="G217" s="9" t="s">
        <v>146</v>
      </c>
      <c r="H217" t="s">
        <v>374</v>
      </c>
      <c r="I217" t="s">
        <v>375</v>
      </c>
      <c r="J217" t="s">
        <v>8</v>
      </c>
      <c r="L217" t="str">
        <f t="shared" si="3"/>
        <v>TP</v>
      </c>
    </row>
    <row r="218" spans="1:13" x14ac:dyDescent="0.2">
      <c r="A218">
        <v>2426269</v>
      </c>
      <c r="B218">
        <v>10</v>
      </c>
      <c r="C218" t="s">
        <v>372</v>
      </c>
      <c r="D218" t="s">
        <v>365</v>
      </c>
      <c r="E218" s="9" t="s">
        <v>146</v>
      </c>
      <c r="F218" t="s">
        <v>44</v>
      </c>
      <c r="G218" s="9" t="s">
        <v>146</v>
      </c>
      <c r="H218" t="s">
        <v>357</v>
      </c>
      <c r="I218" t="s">
        <v>358</v>
      </c>
      <c r="J218" t="s">
        <v>8</v>
      </c>
      <c r="L218" t="str">
        <f t="shared" si="3"/>
        <v>TP</v>
      </c>
    </row>
    <row r="219" spans="1:13" x14ac:dyDescent="0.2">
      <c r="A219">
        <v>2426269</v>
      </c>
      <c r="B219">
        <v>11</v>
      </c>
      <c r="C219" t="s">
        <v>376</v>
      </c>
      <c r="E219" s="9" t="s">
        <v>169</v>
      </c>
      <c r="G219" s="9" t="s">
        <v>169</v>
      </c>
      <c r="J219" t="s">
        <v>169</v>
      </c>
      <c r="L219" t="str">
        <f t="shared" si="3"/>
        <v/>
      </c>
    </row>
    <row r="220" spans="1:13" x14ac:dyDescent="0.2">
      <c r="A220">
        <v>2426269</v>
      </c>
      <c r="B220">
        <v>12</v>
      </c>
      <c r="C220" t="s">
        <v>45</v>
      </c>
      <c r="E220" s="9" t="s">
        <v>169</v>
      </c>
      <c r="G220" s="9" t="s">
        <v>169</v>
      </c>
      <c r="J220" t="s">
        <v>169</v>
      </c>
      <c r="L220" t="str">
        <f t="shared" si="3"/>
        <v/>
      </c>
    </row>
    <row r="221" spans="1:13" x14ac:dyDescent="0.2">
      <c r="A221">
        <v>2426269</v>
      </c>
      <c r="B221">
        <v>13</v>
      </c>
      <c r="C221" t="s">
        <v>377</v>
      </c>
      <c r="E221" s="9" t="s">
        <v>169</v>
      </c>
      <c r="G221" s="9" t="s">
        <v>169</v>
      </c>
      <c r="J221" t="s">
        <v>169</v>
      </c>
      <c r="L221" t="str">
        <f t="shared" si="3"/>
        <v/>
      </c>
    </row>
    <row r="222" spans="1:13" x14ac:dyDescent="0.2">
      <c r="A222">
        <v>2426269</v>
      </c>
      <c r="B222">
        <v>14</v>
      </c>
      <c r="C222" t="s">
        <v>378</v>
      </c>
      <c r="D222" t="s">
        <v>379</v>
      </c>
      <c r="E222" s="9" t="s">
        <v>507</v>
      </c>
      <c r="F222" t="s">
        <v>44</v>
      </c>
      <c r="G222" s="9" t="s">
        <v>507</v>
      </c>
      <c r="J222" t="s">
        <v>169</v>
      </c>
      <c r="L222" t="str">
        <f t="shared" si="3"/>
        <v/>
      </c>
    </row>
    <row r="223" spans="1:13" x14ac:dyDescent="0.2">
      <c r="A223">
        <v>2426269</v>
      </c>
      <c r="B223">
        <v>14</v>
      </c>
      <c r="C223" t="s">
        <v>378</v>
      </c>
      <c r="D223" t="s">
        <v>380</v>
      </c>
      <c r="E223" s="9" t="s">
        <v>507</v>
      </c>
      <c r="F223" t="s">
        <v>38</v>
      </c>
      <c r="G223" s="9" t="s">
        <v>507</v>
      </c>
      <c r="L223" t="str">
        <f t="shared" si="3"/>
        <v/>
      </c>
    </row>
    <row r="224" spans="1:13" x14ac:dyDescent="0.2">
      <c r="A224">
        <v>2465279</v>
      </c>
      <c r="B224">
        <v>0</v>
      </c>
      <c r="C224" t="s">
        <v>381</v>
      </c>
      <c r="D224" t="s">
        <v>267</v>
      </c>
      <c r="E224" s="9" t="s">
        <v>38</v>
      </c>
      <c r="F224" t="s">
        <v>38</v>
      </c>
      <c r="G224" s="9" t="s">
        <v>38</v>
      </c>
      <c r="J224" t="s">
        <v>169</v>
      </c>
      <c r="L224" t="str">
        <f t="shared" si="3"/>
        <v/>
      </c>
    </row>
    <row r="225" spans="1:12" x14ac:dyDescent="0.2">
      <c r="A225">
        <v>2465279</v>
      </c>
      <c r="B225">
        <v>1</v>
      </c>
      <c r="C225" t="s">
        <v>382</v>
      </c>
      <c r="D225" t="s">
        <v>267</v>
      </c>
      <c r="E225" s="9" t="s">
        <v>38</v>
      </c>
      <c r="F225" t="s">
        <v>38</v>
      </c>
      <c r="G225" s="9" t="s">
        <v>38</v>
      </c>
      <c r="J225" t="s">
        <v>169</v>
      </c>
      <c r="L225" t="str">
        <f t="shared" si="3"/>
        <v/>
      </c>
    </row>
    <row r="226" spans="1:12" x14ac:dyDescent="0.2">
      <c r="A226">
        <v>2465279</v>
      </c>
      <c r="B226">
        <v>1</v>
      </c>
      <c r="C226" t="s">
        <v>382</v>
      </c>
      <c r="D226" t="s">
        <v>267</v>
      </c>
      <c r="E226" s="9" t="s">
        <v>38</v>
      </c>
      <c r="F226" t="s">
        <v>38</v>
      </c>
      <c r="G226" s="9" t="s">
        <v>38</v>
      </c>
      <c r="J226" t="s">
        <v>169</v>
      </c>
      <c r="L226" t="str">
        <f t="shared" si="3"/>
        <v/>
      </c>
    </row>
    <row r="227" spans="1:12" x14ac:dyDescent="0.2">
      <c r="A227">
        <v>2465279</v>
      </c>
      <c r="B227">
        <v>1</v>
      </c>
      <c r="C227" t="s">
        <v>382</v>
      </c>
      <c r="D227" t="s">
        <v>383</v>
      </c>
      <c r="E227" s="9" t="s">
        <v>146</v>
      </c>
      <c r="F227" t="s">
        <v>3</v>
      </c>
      <c r="G227" s="9" t="s">
        <v>146</v>
      </c>
      <c r="H227" t="s">
        <v>384</v>
      </c>
      <c r="I227" t="s">
        <v>385</v>
      </c>
      <c r="J227" t="s">
        <v>8</v>
      </c>
      <c r="L227" t="str">
        <f t="shared" si="3"/>
        <v>TP</v>
      </c>
    </row>
    <row r="228" spans="1:12" x14ac:dyDescent="0.2">
      <c r="A228">
        <v>2465279</v>
      </c>
      <c r="B228">
        <v>1</v>
      </c>
      <c r="C228" t="s">
        <v>382</v>
      </c>
      <c r="D228" s="10" t="s">
        <v>386</v>
      </c>
      <c r="E228" s="9" t="s">
        <v>146</v>
      </c>
      <c r="F228" t="s">
        <v>3</v>
      </c>
      <c r="G228" s="9" t="s">
        <v>146</v>
      </c>
      <c r="J228" t="s">
        <v>10</v>
      </c>
      <c r="L228" t="str">
        <f t="shared" si="3"/>
        <v>TP</v>
      </c>
    </row>
    <row r="229" spans="1:12" x14ac:dyDescent="0.2">
      <c r="A229">
        <v>2465279</v>
      </c>
      <c r="B229">
        <v>2</v>
      </c>
      <c r="C229" t="s">
        <v>387</v>
      </c>
      <c r="D229" t="s">
        <v>267</v>
      </c>
      <c r="E229" s="9" t="s">
        <v>38</v>
      </c>
      <c r="F229" t="s">
        <v>38</v>
      </c>
      <c r="G229" s="9" t="s">
        <v>38</v>
      </c>
      <c r="J229" t="s">
        <v>169</v>
      </c>
      <c r="L229" t="str">
        <f t="shared" si="3"/>
        <v/>
      </c>
    </row>
    <row r="230" spans="1:12" x14ac:dyDescent="0.2">
      <c r="A230">
        <v>2465279</v>
      </c>
      <c r="B230">
        <v>3</v>
      </c>
      <c r="C230" t="s">
        <v>388</v>
      </c>
      <c r="E230" s="9" t="s">
        <v>169</v>
      </c>
      <c r="G230" s="9" t="s">
        <v>169</v>
      </c>
      <c r="J230" t="s">
        <v>169</v>
      </c>
      <c r="L230" t="str">
        <f t="shared" si="3"/>
        <v/>
      </c>
    </row>
    <row r="231" spans="1:12" x14ac:dyDescent="0.2">
      <c r="A231">
        <v>2465279</v>
      </c>
      <c r="B231">
        <v>4</v>
      </c>
      <c r="C231" t="s">
        <v>389</v>
      </c>
      <c r="D231" t="s">
        <v>48</v>
      </c>
      <c r="E231" s="9" t="s">
        <v>38</v>
      </c>
      <c r="F231" t="s">
        <v>38</v>
      </c>
      <c r="G231" s="9" t="s">
        <v>38</v>
      </c>
      <c r="J231" t="s">
        <v>169</v>
      </c>
      <c r="L231" t="str">
        <f t="shared" si="3"/>
        <v/>
      </c>
    </row>
    <row r="232" spans="1:12" x14ac:dyDescent="0.2">
      <c r="A232">
        <v>2465279</v>
      </c>
      <c r="B232">
        <v>5</v>
      </c>
      <c r="C232" t="s">
        <v>390</v>
      </c>
      <c r="D232" t="s">
        <v>267</v>
      </c>
      <c r="E232" s="9" t="s">
        <v>38</v>
      </c>
      <c r="F232" t="s">
        <v>38</v>
      </c>
      <c r="G232" s="9" t="s">
        <v>38</v>
      </c>
      <c r="J232" t="s">
        <v>169</v>
      </c>
      <c r="L232" t="str">
        <f t="shared" si="3"/>
        <v/>
      </c>
    </row>
    <row r="233" spans="1:12" x14ac:dyDescent="0.2">
      <c r="A233">
        <v>2465279</v>
      </c>
      <c r="B233">
        <v>6</v>
      </c>
      <c r="C233" t="s">
        <v>391</v>
      </c>
      <c r="E233" s="9" t="s">
        <v>169</v>
      </c>
      <c r="G233" s="9" t="s">
        <v>169</v>
      </c>
      <c r="L233" t="str">
        <f t="shared" si="3"/>
        <v/>
      </c>
    </row>
    <row r="234" spans="1:12" x14ac:dyDescent="0.2">
      <c r="A234">
        <v>2465279</v>
      </c>
      <c r="B234">
        <v>7</v>
      </c>
      <c r="C234" t="s">
        <v>392</v>
      </c>
      <c r="D234" t="s">
        <v>393</v>
      </c>
      <c r="E234" s="9" t="s">
        <v>38</v>
      </c>
      <c r="F234" t="s">
        <v>38</v>
      </c>
      <c r="G234" s="9" t="s">
        <v>38</v>
      </c>
      <c r="L234" t="str">
        <f t="shared" si="3"/>
        <v/>
      </c>
    </row>
    <row r="235" spans="1:12" x14ac:dyDescent="0.2">
      <c r="A235">
        <v>2465279</v>
      </c>
      <c r="B235">
        <v>7</v>
      </c>
      <c r="C235" t="s">
        <v>392</v>
      </c>
      <c r="D235" t="s">
        <v>197</v>
      </c>
      <c r="E235" s="9" t="s">
        <v>38</v>
      </c>
      <c r="F235" t="s">
        <v>38</v>
      </c>
      <c r="G235" s="9" t="s">
        <v>38</v>
      </c>
      <c r="L235" t="str">
        <f t="shared" si="3"/>
        <v/>
      </c>
    </row>
    <row r="236" spans="1:12" x14ac:dyDescent="0.2">
      <c r="A236">
        <v>2465279</v>
      </c>
      <c r="B236">
        <v>8</v>
      </c>
      <c r="C236" t="s">
        <v>394</v>
      </c>
      <c r="D236" t="s">
        <v>267</v>
      </c>
      <c r="E236" s="9" t="s">
        <v>38</v>
      </c>
      <c r="F236" t="s">
        <v>38</v>
      </c>
      <c r="G236" s="9" t="s">
        <v>38</v>
      </c>
      <c r="J236" t="s">
        <v>169</v>
      </c>
      <c r="L236" t="str">
        <f t="shared" si="3"/>
        <v/>
      </c>
    </row>
    <row r="237" spans="1:12" x14ac:dyDescent="0.2">
      <c r="A237">
        <v>2465279</v>
      </c>
      <c r="B237">
        <v>9</v>
      </c>
      <c r="C237" t="s">
        <v>395</v>
      </c>
      <c r="D237" s="10" t="s">
        <v>396</v>
      </c>
      <c r="E237" s="9" t="s">
        <v>38</v>
      </c>
      <c r="F237" t="s">
        <v>3</v>
      </c>
      <c r="G237" s="9" t="s">
        <v>38</v>
      </c>
      <c r="J237" t="s">
        <v>10</v>
      </c>
      <c r="L237" t="str">
        <f t="shared" si="3"/>
        <v/>
      </c>
    </row>
    <row r="238" spans="1:12" x14ac:dyDescent="0.2">
      <c r="A238">
        <v>2527236</v>
      </c>
      <c r="B238">
        <v>0</v>
      </c>
      <c r="C238" t="s">
        <v>397</v>
      </c>
      <c r="D238" t="s">
        <v>398</v>
      </c>
      <c r="E238" s="9" t="s">
        <v>146</v>
      </c>
      <c r="F238" t="s">
        <v>44</v>
      </c>
      <c r="G238" s="9" t="s">
        <v>146</v>
      </c>
      <c r="H238" t="s">
        <v>399</v>
      </c>
      <c r="I238" t="s">
        <v>400</v>
      </c>
      <c r="J238" t="s">
        <v>8</v>
      </c>
      <c r="L238" t="str">
        <f t="shared" si="3"/>
        <v>TP</v>
      </c>
    </row>
    <row r="239" spans="1:12" x14ac:dyDescent="0.2">
      <c r="A239">
        <v>2527236</v>
      </c>
      <c r="B239">
        <v>1</v>
      </c>
      <c r="C239" t="s">
        <v>401</v>
      </c>
      <c r="D239" t="s">
        <v>402</v>
      </c>
      <c r="E239" s="9" t="s">
        <v>146</v>
      </c>
      <c r="F239" t="s">
        <v>44</v>
      </c>
      <c r="G239" s="9" t="s">
        <v>146</v>
      </c>
      <c r="H239" t="s">
        <v>403</v>
      </c>
      <c r="I239" t="s">
        <v>404</v>
      </c>
      <c r="J239" t="s">
        <v>8</v>
      </c>
      <c r="L239" t="str">
        <f t="shared" si="3"/>
        <v>TP</v>
      </c>
    </row>
    <row r="240" spans="1:12" x14ac:dyDescent="0.2">
      <c r="A240">
        <v>2527236</v>
      </c>
      <c r="B240">
        <v>1</v>
      </c>
      <c r="C240" t="s">
        <v>401</v>
      </c>
      <c r="D240" t="s">
        <v>531</v>
      </c>
      <c r="E240" s="9" t="s">
        <v>146</v>
      </c>
      <c r="F240" t="s">
        <v>44</v>
      </c>
      <c r="G240" s="9" t="s">
        <v>146</v>
      </c>
      <c r="H240" t="s">
        <v>399</v>
      </c>
      <c r="I240" t="s">
        <v>400</v>
      </c>
      <c r="J240" t="s">
        <v>8</v>
      </c>
      <c r="L240" t="str">
        <f t="shared" si="3"/>
        <v>TP</v>
      </c>
    </row>
    <row r="241" spans="1:12" x14ac:dyDescent="0.2">
      <c r="A241">
        <v>2527236</v>
      </c>
      <c r="B241">
        <v>2</v>
      </c>
      <c r="C241" t="s">
        <v>405</v>
      </c>
      <c r="D241" t="s">
        <v>532</v>
      </c>
      <c r="E241" s="9" t="s">
        <v>146</v>
      </c>
      <c r="F241" t="s">
        <v>44</v>
      </c>
      <c r="G241" s="9" t="s">
        <v>146</v>
      </c>
      <c r="H241" t="s">
        <v>406</v>
      </c>
      <c r="I241" t="s">
        <v>407</v>
      </c>
      <c r="J241" t="s">
        <v>8</v>
      </c>
      <c r="L241" t="str">
        <f t="shared" si="3"/>
        <v>TP</v>
      </c>
    </row>
    <row r="242" spans="1:12" x14ac:dyDescent="0.2">
      <c r="A242">
        <v>2527236</v>
      </c>
      <c r="B242">
        <v>3</v>
      </c>
      <c r="C242" t="s">
        <v>408</v>
      </c>
      <c r="D242" t="s">
        <v>398</v>
      </c>
      <c r="E242" s="9" t="s">
        <v>146</v>
      </c>
      <c r="F242" t="s">
        <v>44</v>
      </c>
      <c r="G242" s="9" t="s">
        <v>146</v>
      </c>
      <c r="H242" t="s">
        <v>399</v>
      </c>
      <c r="I242" t="s">
        <v>400</v>
      </c>
      <c r="J242" t="s">
        <v>8</v>
      </c>
      <c r="L242" t="str">
        <f t="shared" si="3"/>
        <v>TP</v>
      </c>
    </row>
    <row r="243" spans="1:12" x14ac:dyDescent="0.2">
      <c r="A243">
        <v>2527236</v>
      </c>
      <c r="B243">
        <v>4</v>
      </c>
      <c r="C243" t="s">
        <v>409</v>
      </c>
      <c r="D243" t="s">
        <v>410</v>
      </c>
      <c r="E243" s="9" t="s">
        <v>146</v>
      </c>
      <c r="F243" t="s">
        <v>44</v>
      </c>
      <c r="G243" s="9" t="s">
        <v>146</v>
      </c>
      <c r="H243" t="s">
        <v>399</v>
      </c>
      <c r="I243" t="s">
        <v>400</v>
      </c>
      <c r="J243" t="s">
        <v>8</v>
      </c>
      <c r="L243" t="str">
        <f t="shared" si="3"/>
        <v>TP</v>
      </c>
    </row>
    <row r="244" spans="1:12" x14ac:dyDescent="0.2">
      <c r="A244">
        <v>2527236</v>
      </c>
      <c r="B244">
        <v>5</v>
      </c>
      <c r="C244" t="s">
        <v>411</v>
      </c>
      <c r="D244" t="s">
        <v>398</v>
      </c>
      <c r="E244" s="9" t="s">
        <v>146</v>
      </c>
      <c r="F244" t="s">
        <v>44</v>
      </c>
      <c r="G244" s="9" t="s">
        <v>146</v>
      </c>
      <c r="H244" t="s">
        <v>399</v>
      </c>
      <c r="I244" t="s">
        <v>400</v>
      </c>
      <c r="J244" t="s">
        <v>8</v>
      </c>
      <c r="L244" t="str">
        <f t="shared" si="3"/>
        <v>TP</v>
      </c>
    </row>
    <row r="245" spans="1:12" x14ac:dyDescent="0.2">
      <c r="A245">
        <v>2527236</v>
      </c>
      <c r="B245">
        <v>6</v>
      </c>
      <c r="C245" t="s">
        <v>412</v>
      </c>
      <c r="D245" t="s">
        <v>398</v>
      </c>
      <c r="E245" s="9" t="s">
        <v>146</v>
      </c>
      <c r="F245" t="s">
        <v>44</v>
      </c>
      <c r="G245" s="9" t="s">
        <v>146</v>
      </c>
      <c r="H245" t="s">
        <v>399</v>
      </c>
      <c r="I245" t="s">
        <v>400</v>
      </c>
      <c r="J245" t="s">
        <v>8</v>
      </c>
      <c r="L245" t="str">
        <f t="shared" si="3"/>
        <v>TP</v>
      </c>
    </row>
    <row r="246" spans="1:12" x14ac:dyDescent="0.2">
      <c r="A246">
        <v>2527236</v>
      </c>
      <c r="B246">
        <v>7</v>
      </c>
      <c r="C246" t="s">
        <v>413</v>
      </c>
      <c r="D246" t="s">
        <v>414</v>
      </c>
      <c r="E246" s="9" t="s">
        <v>146</v>
      </c>
      <c r="F246" t="s">
        <v>44</v>
      </c>
      <c r="G246" s="9" t="s">
        <v>146</v>
      </c>
      <c r="H246" t="s">
        <v>399</v>
      </c>
      <c r="I246" t="s">
        <v>400</v>
      </c>
      <c r="J246" t="s">
        <v>8</v>
      </c>
      <c r="L246" t="str">
        <f t="shared" si="3"/>
        <v>TP</v>
      </c>
    </row>
    <row r="247" spans="1:12" x14ac:dyDescent="0.2">
      <c r="A247">
        <v>2527236</v>
      </c>
      <c r="B247">
        <v>7</v>
      </c>
      <c r="C247" t="s">
        <v>413</v>
      </c>
      <c r="D247" t="s">
        <v>415</v>
      </c>
      <c r="E247" s="9" t="s">
        <v>146</v>
      </c>
      <c r="F247" t="s">
        <v>44</v>
      </c>
      <c r="G247" s="9" t="s">
        <v>146</v>
      </c>
      <c r="H247" t="s">
        <v>406</v>
      </c>
      <c r="I247" t="s">
        <v>407</v>
      </c>
      <c r="J247" t="s">
        <v>8</v>
      </c>
      <c r="L247" t="str">
        <f t="shared" si="3"/>
        <v>TP</v>
      </c>
    </row>
    <row r="248" spans="1:12" x14ac:dyDescent="0.2">
      <c r="A248">
        <v>2527236</v>
      </c>
      <c r="B248">
        <v>7</v>
      </c>
      <c r="C248" t="s">
        <v>413</v>
      </c>
      <c r="D248" t="s">
        <v>416</v>
      </c>
      <c r="E248" s="9" t="s">
        <v>167</v>
      </c>
      <c r="F248" t="s">
        <v>44</v>
      </c>
      <c r="G248" s="9" t="s">
        <v>167</v>
      </c>
      <c r="H248" t="s">
        <v>310</v>
      </c>
      <c r="I248" t="s">
        <v>36</v>
      </c>
      <c r="J248" t="s">
        <v>8</v>
      </c>
      <c r="L248" t="str">
        <f t="shared" si="3"/>
        <v>FP</v>
      </c>
    </row>
    <row r="249" spans="1:12" x14ac:dyDescent="0.2">
      <c r="A249">
        <v>2527236</v>
      </c>
      <c r="B249">
        <v>8</v>
      </c>
      <c r="C249" t="s">
        <v>417</v>
      </c>
      <c r="D249" t="s">
        <v>414</v>
      </c>
      <c r="E249" s="9" t="s">
        <v>146</v>
      </c>
      <c r="F249" t="s">
        <v>44</v>
      </c>
      <c r="G249" s="9" t="s">
        <v>146</v>
      </c>
      <c r="H249" t="s">
        <v>399</v>
      </c>
      <c r="I249" t="s">
        <v>400</v>
      </c>
      <c r="J249" t="s">
        <v>8</v>
      </c>
      <c r="L249" t="str">
        <f t="shared" si="3"/>
        <v>TP</v>
      </c>
    </row>
    <row r="250" spans="1:12" x14ac:dyDescent="0.2">
      <c r="A250">
        <v>2582447</v>
      </c>
      <c r="B250">
        <v>0</v>
      </c>
      <c r="C250" t="s">
        <v>418</v>
      </c>
      <c r="D250" t="s">
        <v>419</v>
      </c>
      <c r="E250" s="9" t="s">
        <v>38</v>
      </c>
      <c r="F250" t="s">
        <v>38</v>
      </c>
      <c r="G250" s="9" t="s">
        <v>38</v>
      </c>
      <c r="J250" t="s">
        <v>169</v>
      </c>
      <c r="L250" t="str">
        <f t="shared" si="3"/>
        <v/>
      </c>
    </row>
    <row r="251" spans="1:12" x14ac:dyDescent="0.2">
      <c r="A251">
        <v>2582447</v>
      </c>
      <c r="B251">
        <v>1</v>
      </c>
      <c r="C251" t="s">
        <v>420</v>
      </c>
      <c r="D251" t="s">
        <v>208</v>
      </c>
      <c r="E251" s="9" t="s">
        <v>38</v>
      </c>
      <c r="F251" t="s">
        <v>38</v>
      </c>
      <c r="G251" s="9" t="s">
        <v>38</v>
      </c>
      <c r="J251" t="s">
        <v>169</v>
      </c>
      <c r="L251" t="str">
        <f t="shared" si="3"/>
        <v/>
      </c>
    </row>
    <row r="252" spans="1:12" x14ac:dyDescent="0.2">
      <c r="A252">
        <v>2582447</v>
      </c>
      <c r="B252">
        <v>2</v>
      </c>
      <c r="C252" t="s">
        <v>421</v>
      </c>
      <c r="D252" t="s">
        <v>227</v>
      </c>
      <c r="E252" s="9" t="s">
        <v>146</v>
      </c>
      <c r="F252" t="s">
        <v>61</v>
      </c>
      <c r="G252" s="9" t="s">
        <v>146</v>
      </c>
      <c r="L252" t="str">
        <f t="shared" si="3"/>
        <v>TP</v>
      </c>
    </row>
    <row r="253" spans="1:12" x14ac:dyDescent="0.2">
      <c r="A253">
        <v>2582447</v>
      </c>
      <c r="B253">
        <v>3</v>
      </c>
      <c r="C253" t="s">
        <v>422</v>
      </c>
      <c r="D253" t="s">
        <v>57</v>
      </c>
      <c r="E253" s="9" t="s">
        <v>38</v>
      </c>
      <c r="F253" t="s">
        <v>38</v>
      </c>
      <c r="G253" s="9" t="s">
        <v>38</v>
      </c>
      <c r="J253" t="s">
        <v>169</v>
      </c>
      <c r="L253" t="str">
        <f t="shared" si="3"/>
        <v/>
      </c>
    </row>
    <row r="254" spans="1:12" x14ac:dyDescent="0.2">
      <c r="A254">
        <v>2582447</v>
      </c>
      <c r="B254">
        <v>3</v>
      </c>
      <c r="C254" t="s">
        <v>422</v>
      </c>
      <c r="D254" s="10" t="s">
        <v>423</v>
      </c>
      <c r="E254" s="9" t="s">
        <v>146</v>
      </c>
      <c r="F254" t="s">
        <v>99</v>
      </c>
      <c r="G254" s="9" t="s">
        <v>146</v>
      </c>
      <c r="L254" t="str">
        <f t="shared" si="3"/>
        <v>TP</v>
      </c>
    </row>
    <row r="255" spans="1:12" x14ac:dyDescent="0.2">
      <c r="A255">
        <v>2582447</v>
      </c>
      <c r="B255">
        <v>3</v>
      </c>
      <c r="C255" t="s">
        <v>422</v>
      </c>
      <c r="D255" s="10" t="s">
        <v>423</v>
      </c>
      <c r="E255" s="9" t="s">
        <v>146</v>
      </c>
      <c r="F255" t="s">
        <v>99</v>
      </c>
      <c r="G255" s="9" t="s">
        <v>146</v>
      </c>
      <c r="L255" t="str">
        <f t="shared" si="3"/>
        <v>TP</v>
      </c>
    </row>
    <row r="256" spans="1:12" x14ac:dyDescent="0.2">
      <c r="A256">
        <v>2582447</v>
      </c>
      <c r="B256">
        <v>3</v>
      </c>
      <c r="C256" t="s">
        <v>422</v>
      </c>
      <c r="D256" t="s">
        <v>85</v>
      </c>
      <c r="E256" s="9" t="s">
        <v>146</v>
      </c>
      <c r="F256" t="s">
        <v>3</v>
      </c>
      <c r="G256" s="9" t="s">
        <v>146</v>
      </c>
      <c r="H256" t="s">
        <v>86</v>
      </c>
      <c r="I256" t="s">
        <v>85</v>
      </c>
      <c r="J256" t="s">
        <v>8</v>
      </c>
      <c r="L256" t="str">
        <f t="shared" si="3"/>
        <v>TP</v>
      </c>
    </row>
    <row r="257" spans="1:12" x14ac:dyDescent="0.2">
      <c r="A257">
        <v>2582447</v>
      </c>
      <c r="B257">
        <v>3</v>
      </c>
      <c r="C257" t="s">
        <v>422</v>
      </c>
      <c r="D257" s="10" t="s">
        <v>424</v>
      </c>
      <c r="E257" s="9" t="s">
        <v>146</v>
      </c>
      <c r="F257" t="s">
        <v>99</v>
      </c>
      <c r="G257" s="9" t="s">
        <v>146</v>
      </c>
      <c r="L257" t="str">
        <f t="shared" si="3"/>
        <v>TP</v>
      </c>
    </row>
    <row r="258" spans="1:12" x14ac:dyDescent="0.2">
      <c r="A258">
        <v>2582447</v>
      </c>
      <c r="B258">
        <v>3</v>
      </c>
      <c r="C258" t="s">
        <v>422</v>
      </c>
      <c r="D258" t="s">
        <v>425</v>
      </c>
      <c r="E258" s="9" t="s">
        <v>146</v>
      </c>
      <c r="F258" t="s">
        <v>99</v>
      </c>
      <c r="G258" s="9" t="s">
        <v>146</v>
      </c>
      <c r="K258" t="s">
        <v>74</v>
      </c>
      <c r="L258" t="str">
        <f t="shared" si="3"/>
        <v>TP</v>
      </c>
    </row>
    <row r="259" spans="1:12" x14ac:dyDescent="0.2">
      <c r="A259">
        <v>2582447</v>
      </c>
      <c r="B259">
        <v>3</v>
      </c>
      <c r="C259" t="s">
        <v>422</v>
      </c>
      <c r="D259" t="s">
        <v>425</v>
      </c>
      <c r="E259" s="9" t="s">
        <v>146</v>
      </c>
      <c r="F259" t="s">
        <v>99</v>
      </c>
      <c r="G259" s="9" t="s">
        <v>146</v>
      </c>
      <c r="L259" t="str">
        <f t="shared" ref="L259:L322" si="4">IF(OR(E259="FP",G259="FP"),"FP",IF(AND(E259="TP",E259="TP"),"TP",""))</f>
        <v>TP</v>
      </c>
    </row>
    <row r="260" spans="1:12" x14ac:dyDescent="0.2">
      <c r="A260">
        <v>2582447</v>
      </c>
      <c r="B260">
        <v>3</v>
      </c>
      <c r="C260" t="s">
        <v>422</v>
      </c>
      <c r="D260" t="s">
        <v>426</v>
      </c>
      <c r="E260" s="9" t="s">
        <v>146</v>
      </c>
      <c r="F260" t="s">
        <v>3</v>
      </c>
      <c r="G260" s="9" t="s">
        <v>146</v>
      </c>
      <c r="H260" t="s">
        <v>427</v>
      </c>
      <c r="I260" t="s">
        <v>428</v>
      </c>
      <c r="J260" t="s">
        <v>8</v>
      </c>
      <c r="L260" t="str">
        <f t="shared" si="4"/>
        <v>TP</v>
      </c>
    </row>
    <row r="261" spans="1:12" x14ac:dyDescent="0.2">
      <c r="A261">
        <v>2582447</v>
      </c>
      <c r="B261">
        <v>4</v>
      </c>
      <c r="C261" t="s">
        <v>429</v>
      </c>
      <c r="D261" t="s">
        <v>69</v>
      </c>
      <c r="E261" s="9" t="s">
        <v>38</v>
      </c>
      <c r="F261" t="s">
        <v>38</v>
      </c>
      <c r="G261" s="9" t="s">
        <v>38</v>
      </c>
      <c r="J261" t="s">
        <v>169</v>
      </c>
      <c r="L261" t="str">
        <f t="shared" si="4"/>
        <v/>
      </c>
    </row>
    <row r="262" spans="1:12" x14ac:dyDescent="0.2">
      <c r="A262">
        <v>2582447</v>
      </c>
      <c r="B262">
        <v>5</v>
      </c>
      <c r="C262" t="s">
        <v>430</v>
      </c>
      <c r="D262" t="s">
        <v>85</v>
      </c>
      <c r="E262" s="9" t="s">
        <v>146</v>
      </c>
      <c r="F262" t="s">
        <v>3</v>
      </c>
      <c r="G262" s="9" t="s">
        <v>146</v>
      </c>
      <c r="H262" t="s">
        <v>86</v>
      </c>
      <c r="I262" t="s">
        <v>85</v>
      </c>
      <c r="J262" t="s">
        <v>8</v>
      </c>
      <c r="L262" t="str">
        <f t="shared" si="4"/>
        <v>TP</v>
      </c>
    </row>
    <row r="263" spans="1:12" x14ac:dyDescent="0.2">
      <c r="A263">
        <v>2582447</v>
      </c>
      <c r="B263">
        <v>5</v>
      </c>
      <c r="C263" t="s">
        <v>430</v>
      </c>
      <c r="D263" t="s">
        <v>69</v>
      </c>
      <c r="E263" s="9" t="s">
        <v>38</v>
      </c>
      <c r="F263" t="s">
        <v>38</v>
      </c>
      <c r="G263" s="9" t="s">
        <v>38</v>
      </c>
      <c r="J263" t="s">
        <v>169</v>
      </c>
      <c r="L263" t="str">
        <f t="shared" si="4"/>
        <v/>
      </c>
    </row>
    <row r="264" spans="1:12" x14ac:dyDescent="0.2">
      <c r="A264">
        <v>2582447</v>
      </c>
      <c r="B264">
        <v>5</v>
      </c>
      <c r="C264" t="s">
        <v>430</v>
      </c>
      <c r="D264" t="s">
        <v>69</v>
      </c>
      <c r="E264" s="9" t="s">
        <v>38</v>
      </c>
      <c r="F264" t="s">
        <v>38</v>
      </c>
      <c r="G264" s="9" t="s">
        <v>38</v>
      </c>
      <c r="J264" t="s">
        <v>169</v>
      </c>
      <c r="L264" t="str">
        <f t="shared" si="4"/>
        <v/>
      </c>
    </row>
    <row r="265" spans="1:12" x14ac:dyDescent="0.2">
      <c r="A265">
        <v>2582447</v>
      </c>
      <c r="B265">
        <v>5</v>
      </c>
      <c r="C265" t="s">
        <v>430</v>
      </c>
      <c r="D265" t="s">
        <v>74</v>
      </c>
      <c r="E265" s="9" t="s">
        <v>146</v>
      </c>
      <c r="F265" t="s">
        <v>3</v>
      </c>
      <c r="G265" s="9" t="s">
        <v>146</v>
      </c>
      <c r="H265" t="s">
        <v>75</v>
      </c>
      <c r="I265" t="s">
        <v>74</v>
      </c>
      <c r="J265" t="s">
        <v>8</v>
      </c>
      <c r="L265" t="str">
        <f t="shared" si="4"/>
        <v>TP</v>
      </c>
    </row>
    <row r="266" spans="1:12" x14ac:dyDescent="0.2">
      <c r="A266">
        <v>2582447</v>
      </c>
      <c r="B266">
        <v>5</v>
      </c>
      <c r="C266" t="s">
        <v>430</v>
      </c>
      <c r="D266" t="s">
        <v>431</v>
      </c>
      <c r="E266" s="9" t="s">
        <v>146</v>
      </c>
      <c r="F266" t="s">
        <v>3</v>
      </c>
      <c r="G266" s="9" t="s">
        <v>146</v>
      </c>
      <c r="H266" t="s">
        <v>427</v>
      </c>
      <c r="I266" t="s">
        <v>428</v>
      </c>
      <c r="J266" t="s">
        <v>8</v>
      </c>
      <c r="L266" t="str">
        <f t="shared" si="4"/>
        <v>TP</v>
      </c>
    </row>
    <row r="267" spans="1:12" x14ac:dyDescent="0.2">
      <c r="A267">
        <v>2582447</v>
      </c>
      <c r="B267">
        <v>6</v>
      </c>
      <c r="C267" t="s">
        <v>432</v>
      </c>
      <c r="D267" t="s">
        <v>426</v>
      </c>
      <c r="E267" s="9" t="s">
        <v>146</v>
      </c>
      <c r="F267" t="s">
        <v>3</v>
      </c>
      <c r="G267" s="9" t="s">
        <v>146</v>
      </c>
      <c r="H267" t="s">
        <v>427</v>
      </c>
      <c r="I267" t="s">
        <v>428</v>
      </c>
      <c r="J267" t="s">
        <v>8</v>
      </c>
      <c r="L267" t="str">
        <f t="shared" si="4"/>
        <v>TP</v>
      </c>
    </row>
    <row r="268" spans="1:12" x14ac:dyDescent="0.2">
      <c r="A268">
        <v>2582447</v>
      </c>
      <c r="B268">
        <v>6</v>
      </c>
      <c r="C268" t="s">
        <v>432</v>
      </c>
      <c r="D268" t="s">
        <v>74</v>
      </c>
      <c r="E268" s="9" t="s">
        <v>146</v>
      </c>
      <c r="F268" t="s">
        <v>3</v>
      </c>
      <c r="G268" s="9" t="s">
        <v>146</v>
      </c>
      <c r="H268" t="s">
        <v>75</v>
      </c>
      <c r="I268" t="s">
        <v>74</v>
      </c>
      <c r="J268" t="s">
        <v>8</v>
      </c>
      <c r="L268" t="str">
        <f t="shared" si="4"/>
        <v>TP</v>
      </c>
    </row>
    <row r="269" spans="1:12" x14ac:dyDescent="0.2">
      <c r="A269">
        <v>2582447</v>
      </c>
      <c r="B269">
        <v>6</v>
      </c>
      <c r="C269" t="s">
        <v>432</v>
      </c>
      <c r="D269" t="s">
        <v>85</v>
      </c>
      <c r="E269" s="9" t="s">
        <v>146</v>
      </c>
      <c r="F269" t="s">
        <v>3</v>
      </c>
      <c r="G269" s="9" t="s">
        <v>146</v>
      </c>
      <c r="H269" t="s">
        <v>86</v>
      </c>
      <c r="I269" t="s">
        <v>85</v>
      </c>
      <c r="J269" t="s">
        <v>8</v>
      </c>
      <c r="L269" t="str">
        <f t="shared" si="4"/>
        <v>TP</v>
      </c>
    </row>
    <row r="270" spans="1:12" x14ac:dyDescent="0.2">
      <c r="A270">
        <v>2582447</v>
      </c>
      <c r="B270">
        <v>7</v>
      </c>
      <c r="C270" t="s">
        <v>433</v>
      </c>
      <c r="D270" t="s">
        <v>85</v>
      </c>
      <c r="E270" s="9" t="s">
        <v>146</v>
      </c>
      <c r="F270" t="s">
        <v>3</v>
      </c>
      <c r="G270" s="9" t="s">
        <v>146</v>
      </c>
      <c r="H270" t="s">
        <v>86</v>
      </c>
      <c r="I270" t="s">
        <v>85</v>
      </c>
      <c r="J270" t="s">
        <v>8</v>
      </c>
      <c r="L270" t="str">
        <f t="shared" si="4"/>
        <v>TP</v>
      </c>
    </row>
    <row r="271" spans="1:12" x14ac:dyDescent="0.2">
      <c r="A271">
        <v>2582447</v>
      </c>
      <c r="B271">
        <v>7</v>
      </c>
      <c r="C271" t="s">
        <v>433</v>
      </c>
      <c r="D271" t="s">
        <v>74</v>
      </c>
      <c r="E271" s="9" t="s">
        <v>146</v>
      </c>
      <c r="F271" t="s">
        <v>3</v>
      </c>
      <c r="G271" s="9" t="s">
        <v>146</v>
      </c>
      <c r="H271" t="s">
        <v>75</v>
      </c>
      <c r="I271" t="s">
        <v>74</v>
      </c>
      <c r="J271" t="s">
        <v>8</v>
      </c>
      <c r="L271" t="str">
        <f t="shared" si="4"/>
        <v>TP</v>
      </c>
    </row>
    <row r="272" spans="1:12" x14ac:dyDescent="0.2">
      <c r="A272">
        <v>2582447</v>
      </c>
      <c r="B272">
        <v>7</v>
      </c>
      <c r="C272" t="s">
        <v>433</v>
      </c>
      <c r="D272" t="s">
        <v>434</v>
      </c>
      <c r="E272" s="9" t="s">
        <v>146</v>
      </c>
      <c r="F272" t="s">
        <v>3</v>
      </c>
      <c r="G272" s="9" t="s">
        <v>146</v>
      </c>
      <c r="H272" t="s">
        <v>427</v>
      </c>
      <c r="I272" t="s">
        <v>428</v>
      </c>
      <c r="J272" t="s">
        <v>8</v>
      </c>
      <c r="L272" t="str">
        <f t="shared" si="4"/>
        <v>TP</v>
      </c>
    </row>
    <row r="273" spans="1:12" x14ac:dyDescent="0.2">
      <c r="A273">
        <v>2582447</v>
      </c>
      <c r="B273">
        <v>8</v>
      </c>
      <c r="C273" t="s">
        <v>435</v>
      </c>
      <c r="D273" t="s">
        <v>436</v>
      </c>
      <c r="E273" s="9" t="s">
        <v>146</v>
      </c>
      <c r="F273" t="s">
        <v>3</v>
      </c>
      <c r="G273" s="9" t="s">
        <v>146</v>
      </c>
      <c r="J273" t="s">
        <v>10</v>
      </c>
      <c r="K273" t="s">
        <v>445</v>
      </c>
      <c r="L273" t="str">
        <f t="shared" si="4"/>
        <v>TP</v>
      </c>
    </row>
    <row r="274" spans="1:12" x14ac:dyDescent="0.2">
      <c r="A274">
        <v>2582447</v>
      </c>
      <c r="B274">
        <v>8</v>
      </c>
      <c r="C274" t="s">
        <v>435</v>
      </c>
      <c r="D274" s="10" t="s">
        <v>437</v>
      </c>
      <c r="E274" s="9" t="s">
        <v>146</v>
      </c>
      <c r="F274" t="s">
        <v>99</v>
      </c>
      <c r="G274" s="9" t="s">
        <v>146</v>
      </c>
      <c r="L274" t="str">
        <f t="shared" si="4"/>
        <v>TP</v>
      </c>
    </row>
    <row r="275" spans="1:12" x14ac:dyDescent="0.2">
      <c r="A275">
        <v>2582447</v>
      </c>
      <c r="B275">
        <v>8</v>
      </c>
      <c r="C275" t="s">
        <v>435</v>
      </c>
      <c r="D275" s="10" t="s">
        <v>437</v>
      </c>
      <c r="E275" s="9" t="s">
        <v>146</v>
      </c>
      <c r="F275" t="s">
        <v>99</v>
      </c>
      <c r="G275" s="9" t="s">
        <v>146</v>
      </c>
      <c r="L275" t="str">
        <f t="shared" si="4"/>
        <v>TP</v>
      </c>
    </row>
    <row r="276" spans="1:12" x14ac:dyDescent="0.2">
      <c r="A276">
        <v>2582447</v>
      </c>
      <c r="B276">
        <v>8</v>
      </c>
      <c r="C276" t="s">
        <v>435</v>
      </c>
      <c r="D276" s="10" t="s">
        <v>438</v>
      </c>
      <c r="E276" s="9" t="s">
        <v>146</v>
      </c>
      <c r="F276" t="s">
        <v>99</v>
      </c>
      <c r="G276" s="9" t="s">
        <v>146</v>
      </c>
      <c r="L276" t="str">
        <f t="shared" si="4"/>
        <v>TP</v>
      </c>
    </row>
    <row r="277" spans="1:12" x14ac:dyDescent="0.2">
      <c r="A277">
        <v>2582447</v>
      </c>
      <c r="B277">
        <v>8</v>
      </c>
      <c r="C277" t="s">
        <v>435</v>
      </c>
      <c r="D277" s="10" t="s">
        <v>438</v>
      </c>
      <c r="E277" s="9" t="s">
        <v>146</v>
      </c>
      <c r="F277" t="s">
        <v>99</v>
      </c>
      <c r="G277" s="9" t="s">
        <v>146</v>
      </c>
      <c r="L277" t="str">
        <f t="shared" si="4"/>
        <v>TP</v>
      </c>
    </row>
    <row r="278" spans="1:12" x14ac:dyDescent="0.2">
      <c r="A278">
        <v>2582447</v>
      </c>
      <c r="B278">
        <v>8</v>
      </c>
      <c r="C278" t="s">
        <v>435</v>
      </c>
      <c r="D278" s="10" t="s">
        <v>439</v>
      </c>
      <c r="E278" s="9" t="s">
        <v>146</v>
      </c>
      <c r="F278" t="s">
        <v>99</v>
      </c>
      <c r="G278" s="9" t="s">
        <v>146</v>
      </c>
      <c r="L278" t="str">
        <f t="shared" si="4"/>
        <v>TP</v>
      </c>
    </row>
    <row r="279" spans="1:12" x14ac:dyDescent="0.2">
      <c r="A279">
        <v>2582447</v>
      </c>
      <c r="B279">
        <v>8</v>
      </c>
      <c r="C279" t="s">
        <v>435</v>
      </c>
      <c r="D279" t="s">
        <v>208</v>
      </c>
      <c r="E279" s="9" t="s">
        <v>38</v>
      </c>
      <c r="F279" t="s">
        <v>3</v>
      </c>
      <c r="G279" s="9" t="s">
        <v>38</v>
      </c>
      <c r="J279" t="s">
        <v>169</v>
      </c>
      <c r="L279" t="str">
        <f t="shared" si="4"/>
        <v/>
      </c>
    </row>
    <row r="280" spans="1:12" x14ac:dyDescent="0.2">
      <c r="A280">
        <v>2582447</v>
      </c>
      <c r="B280">
        <v>9</v>
      </c>
      <c r="C280" t="s">
        <v>440</v>
      </c>
      <c r="D280" s="10" t="s">
        <v>441</v>
      </c>
      <c r="E280" s="9" t="s">
        <v>146</v>
      </c>
      <c r="F280" t="s">
        <v>99</v>
      </c>
      <c r="G280" s="9" t="s">
        <v>146</v>
      </c>
      <c r="L280" t="str">
        <f t="shared" si="4"/>
        <v>TP</v>
      </c>
    </row>
    <row r="281" spans="1:12" x14ac:dyDescent="0.2">
      <c r="A281">
        <v>2582447</v>
      </c>
      <c r="B281">
        <v>9</v>
      </c>
      <c r="C281" t="s">
        <v>440</v>
      </c>
      <c r="D281" s="10" t="s">
        <v>442</v>
      </c>
      <c r="E281" s="9" t="s">
        <v>146</v>
      </c>
      <c r="F281" t="s">
        <v>99</v>
      </c>
      <c r="G281" s="9" t="s">
        <v>146</v>
      </c>
      <c r="L281" t="str">
        <f t="shared" si="4"/>
        <v>TP</v>
      </c>
    </row>
    <row r="282" spans="1:12" x14ac:dyDescent="0.2">
      <c r="A282">
        <v>2582447</v>
      </c>
      <c r="B282">
        <v>9</v>
      </c>
      <c r="C282" t="s">
        <v>440</v>
      </c>
      <c r="D282" s="10" t="s">
        <v>443</v>
      </c>
      <c r="E282" s="9" t="s">
        <v>146</v>
      </c>
      <c r="F282" t="s">
        <v>99</v>
      </c>
      <c r="G282" s="9" t="s">
        <v>146</v>
      </c>
      <c r="L282" t="str">
        <f t="shared" si="4"/>
        <v>TP</v>
      </c>
    </row>
    <row r="283" spans="1:12" x14ac:dyDescent="0.2">
      <c r="A283">
        <v>2582447</v>
      </c>
      <c r="B283">
        <v>9</v>
      </c>
      <c r="C283" t="s">
        <v>440</v>
      </c>
      <c r="D283" t="s">
        <v>284</v>
      </c>
      <c r="E283" s="9" t="s">
        <v>146</v>
      </c>
      <c r="F283" t="s">
        <v>3</v>
      </c>
      <c r="G283" s="9" t="s">
        <v>146</v>
      </c>
      <c r="J283" t="s">
        <v>169</v>
      </c>
      <c r="K283" t="s">
        <v>282</v>
      </c>
      <c r="L283" t="str">
        <f t="shared" si="4"/>
        <v>TP</v>
      </c>
    </row>
    <row r="284" spans="1:12" x14ac:dyDescent="0.2">
      <c r="A284">
        <v>2582447</v>
      </c>
      <c r="B284">
        <v>9</v>
      </c>
      <c r="C284" t="s">
        <v>440</v>
      </c>
      <c r="D284" t="s">
        <v>283</v>
      </c>
      <c r="E284" s="9" t="s">
        <v>146</v>
      </c>
      <c r="F284" t="s">
        <v>3</v>
      </c>
      <c r="G284" s="9" t="s">
        <v>146</v>
      </c>
      <c r="J284" t="s">
        <v>169</v>
      </c>
      <c r="L284" t="str">
        <f t="shared" si="4"/>
        <v>TP</v>
      </c>
    </row>
    <row r="285" spans="1:12" x14ac:dyDescent="0.2">
      <c r="A285">
        <v>2582447</v>
      </c>
      <c r="B285">
        <v>10</v>
      </c>
      <c r="C285" t="s">
        <v>444</v>
      </c>
      <c r="D285" t="s">
        <v>24</v>
      </c>
      <c r="E285" s="9" t="s">
        <v>38</v>
      </c>
      <c r="F285" t="s">
        <v>38</v>
      </c>
      <c r="G285" s="9" t="s">
        <v>38</v>
      </c>
      <c r="J285" t="s">
        <v>169</v>
      </c>
      <c r="L285" t="str">
        <f t="shared" si="4"/>
        <v/>
      </c>
    </row>
    <row r="286" spans="1:12" x14ac:dyDescent="0.2">
      <c r="A286">
        <v>2582447</v>
      </c>
      <c r="B286">
        <v>10</v>
      </c>
      <c r="C286" t="s">
        <v>444</v>
      </c>
      <c r="D286" t="s">
        <v>85</v>
      </c>
      <c r="E286" s="9" t="s">
        <v>146</v>
      </c>
      <c r="F286" t="s">
        <v>3</v>
      </c>
      <c r="G286" s="9" t="s">
        <v>146</v>
      </c>
      <c r="H286" t="s">
        <v>86</v>
      </c>
      <c r="I286" t="s">
        <v>85</v>
      </c>
      <c r="J286" t="s">
        <v>8</v>
      </c>
      <c r="L286" t="str">
        <f t="shared" si="4"/>
        <v>TP</v>
      </c>
    </row>
    <row r="287" spans="1:12" x14ac:dyDescent="0.2">
      <c r="A287">
        <v>2582447</v>
      </c>
      <c r="B287">
        <v>10</v>
      </c>
      <c r="C287" t="s">
        <v>444</v>
      </c>
      <c r="D287" t="s">
        <v>445</v>
      </c>
      <c r="E287" s="9" t="s">
        <v>146</v>
      </c>
      <c r="F287" t="s">
        <v>3</v>
      </c>
      <c r="G287" s="9" t="s">
        <v>146</v>
      </c>
      <c r="J287" t="s">
        <v>169</v>
      </c>
      <c r="L287" t="str">
        <f t="shared" si="4"/>
        <v>TP</v>
      </c>
    </row>
    <row r="288" spans="1:12" x14ac:dyDescent="0.2">
      <c r="A288">
        <v>2582447</v>
      </c>
      <c r="B288">
        <v>10</v>
      </c>
      <c r="C288" t="s">
        <v>444</v>
      </c>
      <c r="D288" t="s">
        <v>74</v>
      </c>
      <c r="E288" s="9" t="s">
        <v>146</v>
      </c>
      <c r="F288" t="s">
        <v>3</v>
      </c>
      <c r="G288" s="9" t="s">
        <v>146</v>
      </c>
      <c r="H288" t="s">
        <v>75</v>
      </c>
      <c r="I288" t="s">
        <v>74</v>
      </c>
      <c r="J288" t="s">
        <v>8</v>
      </c>
      <c r="L288" t="str">
        <f t="shared" si="4"/>
        <v>TP</v>
      </c>
    </row>
    <row r="289" spans="1:12" x14ac:dyDescent="0.2">
      <c r="A289">
        <v>2582447</v>
      </c>
      <c r="B289">
        <v>10</v>
      </c>
      <c r="C289" t="s">
        <v>444</v>
      </c>
      <c r="D289" t="s">
        <v>426</v>
      </c>
      <c r="E289" s="9" t="s">
        <v>146</v>
      </c>
      <c r="F289" t="s">
        <v>3</v>
      </c>
      <c r="G289" s="11" t="s">
        <v>146</v>
      </c>
      <c r="H289" t="s">
        <v>427</v>
      </c>
      <c r="I289" t="s">
        <v>428</v>
      </c>
      <c r="J289" t="s">
        <v>8</v>
      </c>
      <c r="L289" t="str">
        <f t="shared" si="4"/>
        <v>TP</v>
      </c>
    </row>
    <row r="290" spans="1:12" x14ac:dyDescent="0.2">
      <c r="A290">
        <v>2582447</v>
      </c>
      <c r="B290">
        <v>10</v>
      </c>
      <c r="C290" t="s">
        <v>444</v>
      </c>
      <c r="D290" t="s">
        <v>284</v>
      </c>
      <c r="E290" s="9" t="s">
        <v>146</v>
      </c>
      <c r="F290" t="s">
        <v>3</v>
      </c>
      <c r="G290" s="11" t="s">
        <v>146</v>
      </c>
      <c r="J290" t="s">
        <v>169</v>
      </c>
      <c r="L290" t="str">
        <f t="shared" si="4"/>
        <v>TP</v>
      </c>
    </row>
    <row r="291" spans="1:12" x14ac:dyDescent="0.2">
      <c r="A291">
        <v>2582447</v>
      </c>
      <c r="B291">
        <v>10</v>
      </c>
      <c r="C291" t="s">
        <v>444</v>
      </c>
      <c r="D291" t="s">
        <v>282</v>
      </c>
      <c r="E291" s="9" t="s">
        <v>146</v>
      </c>
      <c r="F291" t="s">
        <v>3</v>
      </c>
      <c r="G291" s="11" t="s">
        <v>146</v>
      </c>
      <c r="J291" t="s">
        <v>169</v>
      </c>
      <c r="L291" t="str">
        <f t="shared" si="4"/>
        <v>TP</v>
      </c>
    </row>
    <row r="292" spans="1:12" x14ac:dyDescent="0.2">
      <c r="A292">
        <v>2582447</v>
      </c>
      <c r="B292">
        <v>10</v>
      </c>
      <c r="C292" t="s">
        <v>444</v>
      </c>
      <c r="D292" t="s">
        <v>283</v>
      </c>
      <c r="E292" s="9" t="s">
        <v>146</v>
      </c>
      <c r="F292" t="s">
        <v>3</v>
      </c>
      <c r="G292" s="11" t="s">
        <v>146</v>
      </c>
      <c r="J292" t="s">
        <v>169</v>
      </c>
      <c r="L292" t="str">
        <f t="shared" si="4"/>
        <v>TP</v>
      </c>
    </row>
    <row r="293" spans="1:12" x14ac:dyDescent="0.2">
      <c r="A293">
        <v>2695680</v>
      </c>
      <c r="B293">
        <v>0</v>
      </c>
      <c r="C293" t="s">
        <v>446</v>
      </c>
      <c r="D293" t="s">
        <v>277</v>
      </c>
      <c r="E293" s="9" t="s">
        <v>146</v>
      </c>
      <c r="F293" t="s">
        <v>3</v>
      </c>
      <c r="G293" s="11" t="s">
        <v>146</v>
      </c>
      <c r="H293" t="s">
        <v>278</v>
      </c>
      <c r="I293" t="s">
        <v>277</v>
      </c>
      <c r="J293" t="s">
        <v>8</v>
      </c>
      <c r="L293" t="str">
        <f t="shared" si="4"/>
        <v>TP</v>
      </c>
    </row>
    <row r="294" spans="1:12" x14ac:dyDescent="0.2">
      <c r="A294">
        <v>2695680</v>
      </c>
      <c r="B294">
        <v>0</v>
      </c>
      <c r="C294" t="s">
        <v>446</v>
      </c>
      <c r="D294" t="s">
        <v>535</v>
      </c>
      <c r="E294" s="9" t="s">
        <v>38</v>
      </c>
      <c r="F294" t="s">
        <v>38</v>
      </c>
      <c r="G294" s="11" t="s">
        <v>38</v>
      </c>
      <c r="J294" t="s">
        <v>169</v>
      </c>
      <c r="L294" t="str">
        <f t="shared" si="4"/>
        <v/>
      </c>
    </row>
    <row r="295" spans="1:12" x14ac:dyDescent="0.2">
      <c r="A295">
        <v>2695680</v>
      </c>
      <c r="B295">
        <v>0</v>
      </c>
      <c r="C295" t="s">
        <v>446</v>
      </c>
      <c r="D295" t="s">
        <v>536</v>
      </c>
      <c r="E295" s="9" t="s">
        <v>146</v>
      </c>
      <c r="F295" t="s">
        <v>44</v>
      </c>
      <c r="G295" s="11" t="s">
        <v>146</v>
      </c>
      <c r="L295" t="str">
        <f t="shared" si="4"/>
        <v>TP</v>
      </c>
    </row>
    <row r="296" spans="1:12" x14ac:dyDescent="0.2">
      <c r="A296">
        <v>2695680</v>
      </c>
      <c r="B296">
        <v>0</v>
      </c>
      <c r="C296" t="s">
        <v>446</v>
      </c>
      <c r="D296" t="s">
        <v>447</v>
      </c>
      <c r="E296" s="9" t="s">
        <v>146</v>
      </c>
      <c r="F296" t="s">
        <v>44</v>
      </c>
      <c r="G296" s="11" t="s">
        <v>146</v>
      </c>
      <c r="H296" t="s">
        <v>363</v>
      </c>
      <c r="I296" t="s">
        <v>364</v>
      </c>
      <c r="J296" t="s">
        <v>8</v>
      </c>
      <c r="L296" t="str">
        <f t="shared" si="4"/>
        <v>TP</v>
      </c>
    </row>
    <row r="297" spans="1:12" x14ac:dyDescent="0.2">
      <c r="A297">
        <v>2695680</v>
      </c>
      <c r="B297">
        <v>0</v>
      </c>
      <c r="C297" t="s">
        <v>446</v>
      </c>
      <c r="D297" t="s">
        <v>448</v>
      </c>
      <c r="E297" s="9" t="s">
        <v>146</v>
      </c>
      <c r="F297" t="s">
        <v>44</v>
      </c>
      <c r="G297" s="11" t="s">
        <v>146</v>
      </c>
      <c r="H297" t="s">
        <v>357</v>
      </c>
      <c r="I297" t="s">
        <v>358</v>
      </c>
      <c r="J297" t="s">
        <v>8</v>
      </c>
      <c r="L297" t="str">
        <f t="shared" si="4"/>
        <v>TP</v>
      </c>
    </row>
    <row r="298" spans="1:12" x14ac:dyDescent="0.2">
      <c r="A298">
        <v>2695680</v>
      </c>
      <c r="B298">
        <v>1</v>
      </c>
      <c r="C298" t="s">
        <v>449</v>
      </c>
      <c r="D298" t="s">
        <v>450</v>
      </c>
      <c r="E298" s="9" t="s">
        <v>146</v>
      </c>
      <c r="F298" t="s">
        <v>3</v>
      </c>
      <c r="G298" s="11" t="s">
        <v>146</v>
      </c>
      <c r="H298" t="s">
        <v>278</v>
      </c>
      <c r="I298" t="s">
        <v>277</v>
      </c>
      <c r="J298" t="s">
        <v>8</v>
      </c>
      <c r="L298" t="str">
        <f t="shared" si="4"/>
        <v>TP</v>
      </c>
    </row>
    <row r="299" spans="1:12" x14ac:dyDescent="0.2">
      <c r="A299">
        <v>2695680</v>
      </c>
      <c r="B299">
        <v>1</v>
      </c>
      <c r="C299" t="s">
        <v>449</v>
      </c>
      <c r="D299" t="s">
        <v>48</v>
      </c>
      <c r="E299" s="9" t="s">
        <v>38</v>
      </c>
      <c r="F299" t="s">
        <v>38</v>
      </c>
      <c r="G299" s="11" t="s">
        <v>38</v>
      </c>
      <c r="J299" t="s">
        <v>169</v>
      </c>
      <c r="L299" t="str">
        <f t="shared" si="4"/>
        <v/>
      </c>
    </row>
    <row r="300" spans="1:12" x14ac:dyDescent="0.2">
      <c r="A300">
        <v>2695680</v>
      </c>
      <c r="B300">
        <v>2</v>
      </c>
      <c r="C300" t="s">
        <v>451</v>
      </c>
      <c r="D300" t="s">
        <v>452</v>
      </c>
      <c r="E300" s="9" t="s">
        <v>146</v>
      </c>
      <c r="F300" t="s">
        <v>44</v>
      </c>
      <c r="G300" s="11" t="s">
        <v>146</v>
      </c>
      <c r="J300" t="s">
        <v>10</v>
      </c>
      <c r="L300" t="str">
        <f t="shared" si="4"/>
        <v>TP</v>
      </c>
    </row>
    <row r="301" spans="1:12" x14ac:dyDescent="0.2">
      <c r="A301">
        <v>2695680</v>
      </c>
      <c r="B301">
        <v>2</v>
      </c>
      <c r="C301" t="s">
        <v>451</v>
      </c>
      <c r="D301" t="s">
        <v>447</v>
      </c>
      <c r="E301" s="9" t="s">
        <v>146</v>
      </c>
      <c r="F301" t="s">
        <v>44</v>
      </c>
      <c r="G301" s="11" t="s">
        <v>146</v>
      </c>
      <c r="H301" t="s">
        <v>363</v>
      </c>
      <c r="I301" t="s">
        <v>364</v>
      </c>
      <c r="J301" t="s">
        <v>8</v>
      </c>
      <c r="L301" t="str">
        <f t="shared" si="4"/>
        <v>TP</v>
      </c>
    </row>
    <row r="302" spans="1:12" x14ac:dyDescent="0.2">
      <c r="A302">
        <v>2695680</v>
      </c>
      <c r="B302">
        <v>2</v>
      </c>
      <c r="C302" t="s">
        <v>451</v>
      </c>
      <c r="D302" t="s">
        <v>448</v>
      </c>
      <c r="E302" s="9" t="s">
        <v>146</v>
      </c>
      <c r="F302" t="s">
        <v>44</v>
      </c>
      <c r="G302" s="11" t="s">
        <v>146</v>
      </c>
      <c r="H302" t="s">
        <v>357</v>
      </c>
      <c r="I302" t="s">
        <v>358</v>
      </c>
      <c r="J302" t="s">
        <v>8</v>
      </c>
      <c r="L302" t="str">
        <f t="shared" si="4"/>
        <v>TP</v>
      </c>
    </row>
    <row r="303" spans="1:12" x14ac:dyDescent="0.2">
      <c r="A303">
        <v>2695680</v>
      </c>
      <c r="B303">
        <v>2</v>
      </c>
      <c r="C303" t="s">
        <v>451</v>
      </c>
      <c r="D303" t="s">
        <v>453</v>
      </c>
      <c r="E303" s="9" t="s">
        <v>146</v>
      </c>
      <c r="F303" t="s">
        <v>44</v>
      </c>
      <c r="G303" s="11" t="s">
        <v>146</v>
      </c>
      <c r="H303" t="s">
        <v>454</v>
      </c>
      <c r="I303" t="s">
        <v>455</v>
      </c>
      <c r="J303" t="s">
        <v>8</v>
      </c>
      <c r="L303" t="str">
        <f t="shared" si="4"/>
        <v>TP</v>
      </c>
    </row>
    <row r="304" spans="1:12" x14ac:dyDescent="0.2">
      <c r="A304">
        <v>2695680</v>
      </c>
      <c r="B304">
        <v>3</v>
      </c>
      <c r="C304" t="s">
        <v>456</v>
      </c>
      <c r="D304" t="s">
        <v>277</v>
      </c>
      <c r="E304" s="9" t="s">
        <v>146</v>
      </c>
      <c r="F304" t="s">
        <v>3</v>
      </c>
      <c r="G304" s="11" t="s">
        <v>146</v>
      </c>
      <c r="H304" t="s">
        <v>278</v>
      </c>
      <c r="I304" t="s">
        <v>277</v>
      </c>
      <c r="J304" t="s">
        <v>8</v>
      </c>
      <c r="L304" t="str">
        <f t="shared" si="4"/>
        <v>TP</v>
      </c>
    </row>
    <row r="305" spans="1:12" x14ac:dyDescent="0.2">
      <c r="A305">
        <v>2695680</v>
      </c>
      <c r="B305">
        <v>3</v>
      </c>
      <c r="C305" t="s">
        <v>456</v>
      </c>
      <c r="D305" t="s">
        <v>457</v>
      </c>
      <c r="E305" s="9" t="s">
        <v>146</v>
      </c>
      <c r="F305" t="s">
        <v>3</v>
      </c>
      <c r="G305" s="11" t="s">
        <v>146</v>
      </c>
      <c r="J305" t="s">
        <v>10</v>
      </c>
      <c r="L305" t="str">
        <f t="shared" si="4"/>
        <v>TP</v>
      </c>
    </row>
    <row r="306" spans="1:12" x14ac:dyDescent="0.2">
      <c r="A306">
        <v>2695680</v>
      </c>
      <c r="B306">
        <v>4</v>
      </c>
      <c r="C306" t="s">
        <v>458</v>
      </c>
      <c r="D306" t="s">
        <v>277</v>
      </c>
      <c r="E306" s="9" t="s">
        <v>146</v>
      </c>
      <c r="F306" t="s">
        <v>3</v>
      </c>
      <c r="G306" s="11" t="s">
        <v>146</v>
      </c>
      <c r="H306" t="s">
        <v>278</v>
      </c>
      <c r="I306" t="s">
        <v>277</v>
      </c>
      <c r="J306" t="s">
        <v>8</v>
      </c>
      <c r="L306" t="str">
        <f t="shared" si="4"/>
        <v>TP</v>
      </c>
    </row>
    <row r="307" spans="1:12" x14ac:dyDescent="0.2">
      <c r="A307">
        <v>2695680</v>
      </c>
      <c r="B307">
        <v>5</v>
      </c>
      <c r="C307" t="s">
        <v>459</v>
      </c>
      <c r="D307" t="s">
        <v>460</v>
      </c>
      <c r="E307" s="9" t="s">
        <v>146</v>
      </c>
      <c r="F307" t="s">
        <v>3</v>
      </c>
      <c r="G307" s="11" t="s">
        <v>146</v>
      </c>
      <c r="J307" t="s">
        <v>10</v>
      </c>
      <c r="L307" t="str">
        <f t="shared" si="4"/>
        <v>TP</v>
      </c>
    </row>
    <row r="308" spans="1:12" x14ac:dyDescent="0.2">
      <c r="A308">
        <v>2695680</v>
      </c>
      <c r="B308">
        <v>6</v>
      </c>
      <c r="C308" t="s">
        <v>461</v>
      </c>
      <c r="E308" s="9" t="s">
        <v>169</v>
      </c>
      <c r="G308" s="11" t="s">
        <v>169</v>
      </c>
      <c r="J308" t="s">
        <v>169</v>
      </c>
      <c r="L308" t="str">
        <f t="shared" si="4"/>
        <v/>
      </c>
    </row>
    <row r="309" spans="1:12" x14ac:dyDescent="0.2">
      <c r="A309">
        <v>2695680</v>
      </c>
      <c r="B309">
        <v>7</v>
      </c>
      <c r="C309" t="s">
        <v>462</v>
      </c>
      <c r="D309" t="s">
        <v>463</v>
      </c>
      <c r="E309" s="9" t="s">
        <v>146</v>
      </c>
      <c r="F309" t="s">
        <v>44</v>
      </c>
      <c r="G309" s="11" t="s">
        <v>146</v>
      </c>
      <c r="J309" t="s">
        <v>169</v>
      </c>
      <c r="L309" t="str">
        <f t="shared" si="4"/>
        <v>TP</v>
      </c>
    </row>
    <row r="310" spans="1:12" x14ac:dyDescent="0.2">
      <c r="A310">
        <v>2695680</v>
      </c>
      <c r="B310">
        <v>7</v>
      </c>
      <c r="C310" t="s">
        <v>462</v>
      </c>
      <c r="D310" t="s">
        <v>533</v>
      </c>
      <c r="E310" s="9" t="s">
        <v>146</v>
      </c>
      <c r="F310" t="s">
        <v>44</v>
      </c>
      <c r="G310" s="11" t="s">
        <v>146</v>
      </c>
      <c r="J310" t="s">
        <v>10</v>
      </c>
      <c r="L310" t="str">
        <f t="shared" si="4"/>
        <v>TP</v>
      </c>
    </row>
    <row r="311" spans="1:12" x14ac:dyDescent="0.2">
      <c r="A311">
        <v>2695680</v>
      </c>
      <c r="B311">
        <v>7</v>
      </c>
      <c r="C311" t="s">
        <v>462</v>
      </c>
      <c r="D311" t="s">
        <v>267</v>
      </c>
      <c r="E311" s="9" t="s">
        <v>38</v>
      </c>
      <c r="F311" t="s">
        <v>38</v>
      </c>
      <c r="G311" s="11" t="s">
        <v>38</v>
      </c>
      <c r="L311" t="str">
        <f t="shared" si="4"/>
        <v/>
      </c>
    </row>
    <row r="312" spans="1:12" x14ac:dyDescent="0.2">
      <c r="A312">
        <v>2695680</v>
      </c>
      <c r="B312">
        <v>7</v>
      </c>
      <c r="C312" t="s">
        <v>462</v>
      </c>
      <c r="D312" t="s">
        <v>277</v>
      </c>
      <c r="E312" s="9" t="s">
        <v>146</v>
      </c>
      <c r="F312" t="s">
        <v>3</v>
      </c>
      <c r="G312" s="11" t="s">
        <v>146</v>
      </c>
      <c r="H312" t="s">
        <v>278</v>
      </c>
      <c r="I312" t="s">
        <v>277</v>
      </c>
      <c r="J312" t="s">
        <v>8</v>
      </c>
      <c r="L312" t="str">
        <f t="shared" si="4"/>
        <v>TP</v>
      </c>
    </row>
    <row r="313" spans="1:12" x14ac:dyDescent="0.2">
      <c r="A313">
        <v>2695680</v>
      </c>
      <c r="B313">
        <v>8</v>
      </c>
      <c r="C313" t="s">
        <v>464</v>
      </c>
      <c r="D313" t="s">
        <v>534</v>
      </c>
      <c r="E313" s="9" t="s">
        <v>146</v>
      </c>
      <c r="F313" t="s">
        <v>44</v>
      </c>
      <c r="G313" s="11" t="s">
        <v>146</v>
      </c>
      <c r="J313" t="s">
        <v>10</v>
      </c>
      <c r="L313" t="str">
        <f t="shared" si="4"/>
        <v>TP</v>
      </c>
    </row>
    <row r="314" spans="1:12" x14ac:dyDescent="0.2">
      <c r="A314">
        <v>2695680</v>
      </c>
      <c r="B314">
        <v>8</v>
      </c>
      <c r="C314" t="s">
        <v>464</v>
      </c>
      <c r="D314" t="s">
        <v>267</v>
      </c>
      <c r="E314" s="9" t="s">
        <v>38</v>
      </c>
      <c r="F314" t="s">
        <v>38</v>
      </c>
      <c r="G314" s="11" t="s">
        <v>38</v>
      </c>
      <c r="L314" t="str">
        <f t="shared" si="4"/>
        <v/>
      </c>
    </row>
    <row r="315" spans="1:12" x14ac:dyDescent="0.2">
      <c r="A315">
        <v>2695680</v>
      </c>
      <c r="B315">
        <v>8</v>
      </c>
      <c r="C315" t="s">
        <v>464</v>
      </c>
      <c r="D315" t="s">
        <v>463</v>
      </c>
      <c r="E315" s="9" t="s">
        <v>146</v>
      </c>
      <c r="F315" t="s">
        <v>44</v>
      </c>
      <c r="G315" s="11" t="s">
        <v>146</v>
      </c>
      <c r="J315" t="s">
        <v>169</v>
      </c>
      <c r="L315" t="str">
        <f t="shared" si="4"/>
        <v>TP</v>
      </c>
    </row>
    <row r="316" spans="1:12" x14ac:dyDescent="0.2">
      <c r="A316">
        <v>2695680</v>
      </c>
      <c r="B316">
        <v>9</v>
      </c>
      <c r="C316" t="s">
        <v>465</v>
      </c>
      <c r="D316" t="s">
        <v>447</v>
      </c>
      <c r="E316" s="9" t="s">
        <v>146</v>
      </c>
      <c r="F316" t="s">
        <v>44</v>
      </c>
      <c r="G316" s="11" t="s">
        <v>146</v>
      </c>
      <c r="H316" t="s">
        <v>363</v>
      </c>
      <c r="I316" t="s">
        <v>364</v>
      </c>
      <c r="J316" t="s">
        <v>8</v>
      </c>
      <c r="L316" t="str">
        <f t="shared" si="4"/>
        <v>TP</v>
      </c>
    </row>
    <row r="317" spans="1:12" x14ac:dyDescent="0.2">
      <c r="A317">
        <v>2695680</v>
      </c>
      <c r="B317">
        <v>9</v>
      </c>
      <c r="C317" t="s">
        <v>465</v>
      </c>
      <c r="D317" t="s">
        <v>448</v>
      </c>
      <c r="E317" s="9" t="s">
        <v>146</v>
      </c>
      <c r="F317" t="s">
        <v>44</v>
      </c>
      <c r="G317" s="11" t="s">
        <v>146</v>
      </c>
      <c r="J317" t="s">
        <v>169</v>
      </c>
      <c r="L317" t="str">
        <f t="shared" si="4"/>
        <v>TP</v>
      </c>
    </row>
    <row r="318" spans="1:12" x14ac:dyDescent="0.2">
      <c r="A318">
        <v>2695680</v>
      </c>
      <c r="B318">
        <v>9</v>
      </c>
      <c r="C318" t="s">
        <v>465</v>
      </c>
      <c r="D318" t="s">
        <v>267</v>
      </c>
      <c r="E318" s="9" t="s">
        <v>38</v>
      </c>
      <c r="F318" t="s">
        <v>38</v>
      </c>
      <c r="G318" s="11" t="s">
        <v>38</v>
      </c>
      <c r="L318" t="str">
        <f t="shared" si="4"/>
        <v/>
      </c>
    </row>
    <row r="319" spans="1:12" x14ac:dyDescent="0.2">
      <c r="A319">
        <v>3167861</v>
      </c>
      <c r="B319">
        <v>0</v>
      </c>
      <c r="C319" t="s">
        <v>466</v>
      </c>
      <c r="D319" t="s">
        <v>467</v>
      </c>
      <c r="E319" s="9" t="s">
        <v>146</v>
      </c>
      <c r="F319" t="s">
        <v>61</v>
      </c>
      <c r="G319" s="11" t="s">
        <v>146</v>
      </c>
      <c r="J319" t="s">
        <v>169</v>
      </c>
      <c r="L319" t="str">
        <f t="shared" si="4"/>
        <v>TP</v>
      </c>
    </row>
    <row r="320" spans="1:12" x14ac:dyDescent="0.2">
      <c r="A320">
        <v>3167861</v>
      </c>
      <c r="B320">
        <v>0</v>
      </c>
      <c r="C320" t="s">
        <v>466</v>
      </c>
      <c r="D320" t="s">
        <v>468</v>
      </c>
      <c r="E320" s="9" t="s">
        <v>146</v>
      </c>
      <c r="F320" t="s">
        <v>3</v>
      </c>
      <c r="G320" s="11" t="s">
        <v>146</v>
      </c>
      <c r="H320" t="s">
        <v>469</v>
      </c>
      <c r="I320" t="s">
        <v>470</v>
      </c>
      <c r="J320" t="s">
        <v>8</v>
      </c>
      <c r="L320" t="str">
        <f t="shared" si="4"/>
        <v>TP</v>
      </c>
    </row>
    <row r="321" spans="1:12" x14ac:dyDescent="0.2">
      <c r="A321">
        <v>3167861</v>
      </c>
      <c r="B321">
        <v>0</v>
      </c>
      <c r="C321" t="s">
        <v>466</v>
      </c>
      <c r="D321" t="s">
        <v>471</v>
      </c>
      <c r="E321" s="9" t="s">
        <v>146</v>
      </c>
      <c r="F321" t="s">
        <v>61</v>
      </c>
      <c r="G321" s="11" t="s">
        <v>146</v>
      </c>
      <c r="J321" t="s">
        <v>10</v>
      </c>
      <c r="L321" t="str">
        <f t="shared" si="4"/>
        <v>TP</v>
      </c>
    </row>
    <row r="322" spans="1:12" x14ac:dyDescent="0.2">
      <c r="A322">
        <v>3167861</v>
      </c>
      <c r="B322">
        <v>1</v>
      </c>
      <c r="C322" t="s">
        <v>472</v>
      </c>
      <c r="D322" t="s">
        <v>267</v>
      </c>
      <c r="E322" s="9" t="s">
        <v>38</v>
      </c>
      <c r="F322" t="s">
        <v>38</v>
      </c>
      <c r="G322" s="11" t="s">
        <v>38</v>
      </c>
      <c r="J322" t="s">
        <v>169</v>
      </c>
      <c r="L322" t="str">
        <f t="shared" si="4"/>
        <v/>
      </c>
    </row>
    <row r="323" spans="1:12" x14ac:dyDescent="0.2">
      <c r="A323">
        <v>3167861</v>
      </c>
      <c r="B323">
        <v>1</v>
      </c>
      <c r="C323" t="s">
        <v>472</v>
      </c>
      <c r="D323" t="s">
        <v>48</v>
      </c>
      <c r="E323" s="9" t="s">
        <v>38</v>
      </c>
      <c r="F323" t="s">
        <v>38</v>
      </c>
      <c r="G323" s="11" t="s">
        <v>38</v>
      </c>
      <c r="J323" t="s">
        <v>169</v>
      </c>
      <c r="L323" t="str">
        <f t="shared" ref="L323:L381" si="5">IF(OR(E323="FP",G323="FP"),"FP",IF(AND(E323="TP",E323="TP"),"TP",""))</f>
        <v/>
      </c>
    </row>
    <row r="324" spans="1:12" x14ac:dyDescent="0.2">
      <c r="A324">
        <v>3167861</v>
      </c>
      <c r="B324">
        <v>1</v>
      </c>
      <c r="C324" t="s">
        <v>472</v>
      </c>
      <c r="D324" t="s">
        <v>473</v>
      </c>
      <c r="E324" s="9" t="s">
        <v>146</v>
      </c>
      <c r="F324" t="s">
        <v>3</v>
      </c>
      <c r="G324" s="11" t="s">
        <v>146</v>
      </c>
      <c r="H324" t="s">
        <v>469</v>
      </c>
      <c r="I324" t="s">
        <v>470</v>
      </c>
      <c r="J324" t="s">
        <v>8</v>
      </c>
      <c r="L324" t="str">
        <f t="shared" si="5"/>
        <v>TP</v>
      </c>
    </row>
    <row r="325" spans="1:12" x14ac:dyDescent="0.2">
      <c r="A325">
        <v>3167861</v>
      </c>
      <c r="B325">
        <v>1</v>
      </c>
      <c r="C325" t="s">
        <v>472</v>
      </c>
      <c r="D325" t="s">
        <v>470</v>
      </c>
      <c r="E325" s="9" t="s">
        <v>146</v>
      </c>
      <c r="F325" t="s">
        <v>3</v>
      </c>
      <c r="G325" s="11" t="s">
        <v>146</v>
      </c>
      <c r="H325" t="s">
        <v>469</v>
      </c>
      <c r="I325" t="s">
        <v>470</v>
      </c>
      <c r="J325" t="s">
        <v>8</v>
      </c>
      <c r="L325" t="str">
        <f t="shared" si="5"/>
        <v>TP</v>
      </c>
    </row>
    <row r="326" spans="1:12" x14ac:dyDescent="0.2">
      <c r="A326">
        <v>3167861</v>
      </c>
      <c r="B326">
        <v>2</v>
      </c>
      <c r="C326" t="s">
        <v>474</v>
      </c>
      <c r="D326" t="s">
        <v>475</v>
      </c>
      <c r="E326" s="9" t="s">
        <v>146</v>
      </c>
      <c r="F326" t="s">
        <v>3</v>
      </c>
      <c r="G326" s="11" t="s">
        <v>146</v>
      </c>
      <c r="H326" t="s">
        <v>476</v>
      </c>
      <c r="I326" t="s">
        <v>477</v>
      </c>
      <c r="J326" t="s">
        <v>8</v>
      </c>
      <c r="L326" t="str">
        <f t="shared" si="5"/>
        <v>TP</v>
      </c>
    </row>
    <row r="327" spans="1:12" x14ac:dyDescent="0.2">
      <c r="A327">
        <v>3167861</v>
      </c>
      <c r="B327">
        <v>2</v>
      </c>
      <c r="C327" t="s">
        <v>474</v>
      </c>
      <c r="D327" t="s">
        <v>478</v>
      </c>
      <c r="E327" s="9" t="s">
        <v>146</v>
      </c>
      <c r="F327" t="s">
        <v>3</v>
      </c>
      <c r="G327" s="11" t="s">
        <v>146</v>
      </c>
      <c r="H327" t="s">
        <v>469</v>
      </c>
      <c r="I327" t="s">
        <v>470</v>
      </c>
      <c r="J327" t="s">
        <v>8</v>
      </c>
      <c r="L327" t="str">
        <f t="shared" si="5"/>
        <v>TP</v>
      </c>
    </row>
    <row r="328" spans="1:12" x14ac:dyDescent="0.2">
      <c r="A328">
        <v>3167861</v>
      </c>
      <c r="B328">
        <v>2</v>
      </c>
      <c r="C328" t="s">
        <v>474</v>
      </c>
      <c r="D328" t="s">
        <v>479</v>
      </c>
      <c r="E328" s="9" t="s">
        <v>167</v>
      </c>
      <c r="F328" t="s">
        <v>44</v>
      </c>
      <c r="G328" s="11" t="s">
        <v>167</v>
      </c>
      <c r="J328" t="s">
        <v>169</v>
      </c>
      <c r="L328" t="str">
        <f t="shared" si="5"/>
        <v>FP</v>
      </c>
    </row>
    <row r="329" spans="1:12" x14ac:dyDescent="0.2">
      <c r="A329">
        <v>3167861</v>
      </c>
      <c r="B329">
        <v>2</v>
      </c>
      <c r="C329" t="s">
        <v>474</v>
      </c>
      <c r="D329" t="s">
        <v>57</v>
      </c>
      <c r="E329" s="9" t="s">
        <v>38</v>
      </c>
      <c r="F329" t="s">
        <v>38</v>
      </c>
      <c r="G329" s="11" t="s">
        <v>38</v>
      </c>
      <c r="J329" t="s">
        <v>169</v>
      </c>
      <c r="L329" t="str">
        <f t="shared" si="5"/>
        <v/>
      </c>
    </row>
    <row r="330" spans="1:12" x14ac:dyDescent="0.2">
      <c r="A330">
        <v>3167861</v>
      </c>
      <c r="B330">
        <v>3</v>
      </c>
      <c r="C330" t="s">
        <v>480</v>
      </c>
      <c r="D330" t="s">
        <v>48</v>
      </c>
      <c r="E330" s="9" t="s">
        <v>38</v>
      </c>
      <c r="F330" t="s">
        <v>38</v>
      </c>
      <c r="G330" s="11" t="s">
        <v>38</v>
      </c>
      <c r="J330" t="s">
        <v>169</v>
      </c>
      <c r="L330" t="str">
        <f t="shared" si="5"/>
        <v/>
      </c>
    </row>
    <row r="331" spans="1:12" x14ac:dyDescent="0.2">
      <c r="A331">
        <v>3167861</v>
      </c>
      <c r="B331">
        <v>3</v>
      </c>
      <c r="C331" t="s">
        <v>480</v>
      </c>
      <c r="D331" t="s">
        <v>478</v>
      </c>
      <c r="E331" s="9" t="s">
        <v>146</v>
      </c>
      <c r="F331" t="s">
        <v>3</v>
      </c>
      <c r="G331" s="11" t="s">
        <v>146</v>
      </c>
      <c r="H331" t="s">
        <v>469</v>
      </c>
      <c r="I331" t="s">
        <v>470</v>
      </c>
      <c r="J331" t="s">
        <v>8</v>
      </c>
      <c r="L331" t="str">
        <f t="shared" si="5"/>
        <v>TP</v>
      </c>
    </row>
    <row r="332" spans="1:12" x14ac:dyDescent="0.2">
      <c r="A332">
        <v>3167861</v>
      </c>
      <c r="B332">
        <v>4</v>
      </c>
      <c r="C332" t="s">
        <v>481</v>
      </c>
      <c r="D332" t="s">
        <v>475</v>
      </c>
      <c r="E332" s="9" t="s">
        <v>146</v>
      </c>
      <c r="F332" t="s">
        <v>3</v>
      </c>
      <c r="G332" s="11" t="s">
        <v>146</v>
      </c>
      <c r="H332" t="s">
        <v>476</v>
      </c>
      <c r="I332" t="s">
        <v>477</v>
      </c>
      <c r="J332" t="s">
        <v>8</v>
      </c>
      <c r="L332" t="str">
        <f t="shared" si="5"/>
        <v>TP</v>
      </c>
    </row>
    <row r="333" spans="1:12" x14ac:dyDescent="0.2">
      <c r="A333">
        <v>3167861</v>
      </c>
      <c r="B333">
        <v>4</v>
      </c>
      <c r="C333" t="s">
        <v>481</v>
      </c>
      <c r="D333" t="s">
        <v>48</v>
      </c>
      <c r="E333" s="9" t="s">
        <v>38</v>
      </c>
      <c r="F333" t="s">
        <v>38</v>
      </c>
      <c r="G333" s="11" t="s">
        <v>38</v>
      </c>
      <c r="J333" t="s">
        <v>169</v>
      </c>
      <c r="L333" t="str">
        <f t="shared" si="5"/>
        <v/>
      </c>
    </row>
    <row r="334" spans="1:12" x14ac:dyDescent="0.2">
      <c r="A334">
        <v>3167861</v>
      </c>
      <c r="B334">
        <v>5</v>
      </c>
      <c r="C334" t="s">
        <v>482</v>
      </c>
      <c r="D334" t="s">
        <v>478</v>
      </c>
      <c r="E334" s="9" t="s">
        <v>146</v>
      </c>
      <c r="F334" t="s">
        <v>3</v>
      </c>
      <c r="G334" s="11" t="s">
        <v>146</v>
      </c>
      <c r="H334" t="s">
        <v>469</v>
      </c>
      <c r="I334" t="s">
        <v>470</v>
      </c>
      <c r="J334" t="s">
        <v>8</v>
      </c>
      <c r="L334" t="str">
        <f t="shared" si="5"/>
        <v>TP</v>
      </c>
    </row>
    <row r="335" spans="1:12" x14ac:dyDescent="0.2">
      <c r="A335">
        <v>3167861</v>
      </c>
      <c r="B335">
        <v>6</v>
      </c>
      <c r="C335" t="s">
        <v>483</v>
      </c>
      <c r="D335" t="s">
        <v>484</v>
      </c>
      <c r="E335" s="9" t="s">
        <v>146</v>
      </c>
      <c r="F335" t="s">
        <v>3</v>
      </c>
      <c r="G335" s="11" t="s">
        <v>146</v>
      </c>
      <c r="H335" t="s">
        <v>469</v>
      </c>
      <c r="I335" t="s">
        <v>470</v>
      </c>
      <c r="J335" t="s">
        <v>8</v>
      </c>
      <c r="L335" t="str">
        <f t="shared" si="5"/>
        <v>TP</v>
      </c>
    </row>
    <row r="336" spans="1:12" x14ac:dyDescent="0.2">
      <c r="A336">
        <v>22735313</v>
      </c>
      <c r="B336">
        <v>0</v>
      </c>
      <c r="C336" t="s">
        <v>485</v>
      </c>
      <c r="D336" t="s">
        <v>486</v>
      </c>
      <c r="E336" s="9" t="s">
        <v>146</v>
      </c>
      <c r="F336" t="s">
        <v>3</v>
      </c>
      <c r="G336" s="11" t="s">
        <v>146</v>
      </c>
      <c r="H336" t="s">
        <v>65</v>
      </c>
      <c r="I336" t="s">
        <v>64</v>
      </c>
      <c r="J336" t="s">
        <v>8</v>
      </c>
      <c r="L336" t="str">
        <f t="shared" si="5"/>
        <v>TP</v>
      </c>
    </row>
    <row r="337" spans="1:13" x14ac:dyDescent="0.2">
      <c r="A337">
        <v>22735313</v>
      </c>
      <c r="B337">
        <v>0</v>
      </c>
      <c r="C337" t="s">
        <v>485</v>
      </c>
      <c r="D337" t="s">
        <v>76</v>
      </c>
      <c r="E337" s="9" t="s">
        <v>146</v>
      </c>
      <c r="F337" t="s">
        <v>3</v>
      </c>
      <c r="G337" s="11" t="s">
        <v>146</v>
      </c>
      <c r="H337" t="s">
        <v>77</v>
      </c>
      <c r="I337" t="s">
        <v>76</v>
      </c>
      <c r="J337" t="s">
        <v>8</v>
      </c>
      <c r="L337" t="str">
        <f t="shared" si="5"/>
        <v>TP</v>
      </c>
    </row>
    <row r="338" spans="1:13" x14ac:dyDescent="0.2">
      <c r="A338">
        <v>22735313</v>
      </c>
      <c r="B338">
        <v>1</v>
      </c>
      <c r="C338" t="s">
        <v>487</v>
      </c>
      <c r="D338" t="s">
        <v>506</v>
      </c>
      <c r="E338" s="9" t="s">
        <v>38</v>
      </c>
      <c r="F338" t="s">
        <v>38</v>
      </c>
      <c r="G338" s="11" t="s">
        <v>38</v>
      </c>
      <c r="J338" t="s">
        <v>10</v>
      </c>
      <c r="L338" t="str">
        <f t="shared" si="5"/>
        <v/>
      </c>
    </row>
    <row r="339" spans="1:13" x14ac:dyDescent="0.2">
      <c r="A339">
        <v>22735313</v>
      </c>
      <c r="B339">
        <v>1</v>
      </c>
      <c r="C339" t="s">
        <v>487</v>
      </c>
      <c r="D339" t="s">
        <v>537</v>
      </c>
      <c r="E339" s="9" t="s">
        <v>38</v>
      </c>
      <c r="F339" t="s">
        <v>3</v>
      </c>
      <c r="G339" s="11" t="s">
        <v>38</v>
      </c>
      <c r="L339" t="str">
        <f t="shared" si="5"/>
        <v/>
      </c>
    </row>
    <row r="340" spans="1:13" x14ac:dyDescent="0.2">
      <c r="A340">
        <v>22735313</v>
      </c>
      <c r="B340">
        <v>2</v>
      </c>
      <c r="C340" t="s">
        <v>488</v>
      </c>
      <c r="D340" t="s">
        <v>295</v>
      </c>
      <c r="E340" s="9" t="s">
        <v>146</v>
      </c>
      <c r="F340" t="s">
        <v>3</v>
      </c>
      <c r="G340" s="11" t="s">
        <v>146</v>
      </c>
      <c r="H340" t="s">
        <v>296</v>
      </c>
      <c r="I340" t="s">
        <v>295</v>
      </c>
      <c r="J340" t="s">
        <v>8</v>
      </c>
      <c r="L340" t="str">
        <f t="shared" si="5"/>
        <v>TP</v>
      </c>
    </row>
    <row r="341" spans="1:13" x14ac:dyDescent="0.2">
      <c r="A341">
        <v>22735313</v>
      </c>
      <c r="B341">
        <v>2</v>
      </c>
      <c r="C341" t="s">
        <v>488</v>
      </c>
      <c r="D341" t="s">
        <v>64</v>
      </c>
      <c r="E341" s="9" t="s">
        <v>146</v>
      </c>
      <c r="F341" t="s">
        <v>3</v>
      </c>
      <c r="G341" s="11" t="s">
        <v>146</v>
      </c>
      <c r="H341" t="s">
        <v>65</v>
      </c>
      <c r="I341" t="s">
        <v>64</v>
      </c>
      <c r="J341" t="s">
        <v>8</v>
      </c>
      <c r="L341" t="str">
        <f t="shared" si="5"/>
        <v>TP</v>
      </c>
    </row>
    <row r="342" spans="1:13" x14ac:dyDescent="0.2">
      <c r="A342">
        <v>22735313</v>
      </c>
      <c r="B342">
        <v>2</v>
      </c>
      <c r="C342" t="s">
        <v>488</v>
      </c>
      <c r="D342" t="s">
        <v>72</v>
      </c>
      <c r="E342" s="9" t="s">
        <v>146</v>
      </c>
      <c r="F342" t="s">
        <v>3</v>
      </c>
      <c r="G342" s="11" t="s">
        <v>146</v>
      </c>
      <c r="H342" t="s">
        <v>73</v>
      </c>
      <c r="I342" t="s">
        <v>72</v>
      </c>
      <c r="J342" t="s">
        <v>8</v>
      </c>
      <c r="L342" t="str">
        <f t="shared" si="5"/>
        <v>TP</v>
      </c>
    </row>
    <row r="343" spans="1:13" x14ac:dyDescent="0.2">
      <c r="A343">
        <v>22735313</v>
      </c>
      <c r="B343">
        <v>2</v>
      </c>
      <c r="C343" t="s">
        <v>488</v>
      </c>
      <c r="D343" t="s">
        <v>76</v>
      </c>
      <c r="E343" s="9" t="s">
        <v>146</v>
      </c>
      <c r="F343" t="s">
        <v>3</v>
      </c>
      <c r="G343" s="11" t="s">
        <v>146</v>
      </c>
      <c r="H343" t="s">
        <v>77</v>
      </c>
      <c r="I343" t="s">
        <v>76</v>
      </c>
      <c r="J343" t="s">
        <v>8</v>
      </c>
      <c r="L343" t="str">
        <f t="shared" si="5"/>
        <v>TP</v>
      </c>
    </row>
    <row r="344" spans="1:13" x14ac:dyDescent="0.2">
      <c r="A344">
        <v>22735313</v>
      </c>
      <c r="B344">
        <v>2</v>
      </c>
      <c r="C344" t="s">
        <v>488</v>
      </c>
      <c r="D344" t="s">
        <v>69</v>
      </c>
      <c r="E344" s="9" t="s">
        <v>38</v>
      </c>
      <c r="F344" t="s">
        <v>38</v>
      </c>
      <c r="G344" s="11" t="s">
        <v>38</v>
      </c>
      <c r="J344" t="s">
        <v>169</v>
      </c>
      <c r="L344" t="str">
        <f t="shared" si="5"/>
        <v/>
      </c>
    </row>
    <row r="345" spans="1:13" x14ac:dyDescent="0.2">
      <c r="A345">
        <v>22735313</v>
      </c>
      <c r="B345">
        <v>3</v>
      </c>
      <c r="C345" t="s">
        <v>489</v>
      </c>
      <c r="D345" t="s">
        <v>490</v>
      </c>
      <c r="E345" s="9" t="s">
        <v>38</v>
      </c>
      <c r="F345" t="s">
        <v>38</v>
      </c>
      <c r="G345" s="11" t="s">
        <v>38</v>
      </c>
      <c r="K345" t="s">
        <v>559</v>
      </c>
      <c r="L345" t="str">
        <f t="shared" si="5"/>
        <v/>
      </c>
      <c r="M345" t="s">
        <v>1992</v>
      </c>
    </row>
    <row r="346" spans="1:13" x14ac:dyDescent="0.2">
      <c r="A346">
        <v>22735313</v>
      </c>
      <c r="B346">
        <v>3</v>
      </c>
      <c r="C346" t="s">
        <v>489</v>
      </c>
      <c r="D346" t="s">
        <v>491</v>
      </c>
      <c r="E346" s="9" t="s">
        <v>146</v>
      </c>
      <c r="F346" t="s">
        <v>61</v>
      </c>
      <c r="G346" s="11" t="s">
        <v>146</v>
      </c>
      <c r="L346" t="str">
        <f t="shared" si="5"/>
        <v>TP</v>
      </c>
    </row>
    <row r="347" spans="1:13" x14ac:dyDescent="0.2">
      <c r="A347">
        <v>22735313</v>
      </c>
      <c r="B347">
        <v>3</v>
      </c>
      <c r="C347" t="s">
        <v>489</v>
      </c>
      <c r="D347" t="s">
        <v>492</v>
      </c>
      <c r="E347" s="9" t="s">
        <v>146</v>
      </c>
      <c r="F347" t="s">
        <v>61</v>
      </c>
      <c r="G347" s="11" t="s">
        <v>146</v>
      </c>
      <c r="L347" t="str">
        <f t="shared" si="5"/>
        <v>TP</v>
      </c>
    </row>
    <row r="348" spans="1:13" x14ac:dyDescent="0.2">
      <c r="A348">
        <v>22735313</v>
      </c>
      <c r="B348">
        <v>3</v>
      </c>
      <c r="C348" t="s">
        <v>489</v>
      </c>
      <c r="D348" t="s">
        <v>295</v>
      </c>
      <c r="E348" s="9" t="s">
        <v>146</v>
      </c>
      <c r="F348" t="s">
        <v>3</v>
      </c>
      <c r="G348" s="11" t="s">
        <v>146</v>
      </c>
      <c r="H348" t="s">
        <v>296</v>
      </c>
      <c r="I348" t="s">
        <v>295</v>
      </c>
      <c r="J348" t="s">
        <v>8</v>
      </c>
      <c r="L348" t="str">
        <f t="shared" si="5"/>
        <v>TP</v>
      </c>
    </row>
    <row r="349" spans="1:13" x14ac:dyDescent="0.2">
      <c r="A349">
        <v>22735313</v>
      </c>
      <c r="B349">
        <v>3</v>
      </c>
      <c r="C349" t="s">
        <v>489</v>
      </c>
      <c r="D349" t="s">
        <v>72</v>
      </c>
      <c r="E349" s="9" t="s">
        <v>146</v>
      </c>
      <c r="F349" t="s">
        <v>3</v>
      </c>
      <c r="G349" s="11" t="s">
        <v>146</v>
      </c>
      <c r="H349" t="s">
        <v>73</v>
      </c>
      <c r="I349" t="s">
        <v>72</v>
      </c>
      <c r="J349" t="s">
        <v>8</v>
      </c>
      <c r="L349" t="str">
        <f t="shared" si="5"/>
        <v>TP</v>
      </c>
    </row>
    <row r="350" spans="1:13" x14ac:dyDescent="0.2">
      <c r="A350">
        <v>22735313</v>
      </c>
      <c r="B350">
        <v>3</v>
      </c>
      <c r="C350" t="s">
        <v>489</v>
      </c>
      <c r="D350" t="s">
        <v>493</v>
      </c>
      <c r="E350" s="9" t="s">
        <v>146</v>
      </c>
      <c r="F350" t="s">
        <v>99</v>
      </c>
      <c r="G350" s="11" t="s">
        <v>167</v>
      </c>
      <c r="L350" t="str">
        <f t="shared" si="5"/>
        <v>FP</v>
      </c>
    </row>
    <row r="351" spans="1:13" x14ac:dyDescent="0.2">
      <c r="A351">
        <v>22735313</v>
      </c>
      <c r="B351">
        <v>3</v>
      </c>
      <c r="C351" t="s">
        <v>489</v>
      </c>
      <c r="D351" t="s">
        <v>494</v>
      </c>
      <c r="E351" s="9" t="s">
        <v>146</v>
      </c>
      <c r="F351" t="s">
        <v>44</v>
      </c>
      <c r="G351" s="11" t="s">
        <v>146</v>
      </c>
      <c r="J351" t="s">
        <v>169</v>
      </c>
      <c r="L351" t="str">
        <f t="shared" si="5"/>
        <v>TP</v>
      </c>
    </row>
    <row r="352" spans="1:13" x14ac:dyDescent="0.2">
      <c r="A352">
        <v>22735313</v>
      </c>
      <c r="B352">
        <v>4</v>
      </c>
      <c r="C352" t="s">
        <v>495</v>
      </c>
      <c r="D352" t="s">
        <v>492</v>
      </c>
      <c r="E352" s="9" t="s">
        <v>146</v>
      </c>
      <c r="F352" t="s">
        <v>61</v>
      </c>
      <c r="G352" s="11" t="s">
        <v>146</v>
      </c>
      <c r="L352" t="str">
        <f t="shared" si="5"/>
        <v>TP</v>
      </c>
    </row>
    <row r="353" spans="1:12" x14ac:dyDescent="0.2">
      <c r="A353">
        <v>22735313</v>
      </c>
      <c r="B353">
        <v>5</v>
      </c>
      <c r="C353" t="s">
        <v>496</v>
      </c>
      <c r="D353" t="s">
        <v>69</v>
      </c>
      <c r="E353" s="9" t="s">
        <v>38</v>
      </c>
      <c r="F353" t="s">
        <v>3</v>
      </c>
      <c r="G353" s="11" t="s">
        <v>38</v>
      </c>
      <c r="J353" t="s">
        <v>169</v>
      </c>
      <c r="L353" t="str">
        <f t="shared" si="5"/>
        <v/>
      </c>
    </row>
    <row r="354" spans="1:12" x14ac:dyDescent="0.2">
      <c r="A354">
        <v>22735313</v>
      </c>
      <c r="B354">
        <v>6</v>
      </c>
      <c r="C354" t="s">
        <v>497</v>
      </c>
      <c r="D354" t="s">
        <v>57</v>
      </c>
      <c r="E354" s="9" t="s">
        <v>38</v>
      </c>
      <c r="F354" t="s">
        <v>3</v>
      </c>
      <c r="G354" s="11" t="s">
        <v>38</v>
      </c>
      <c r="J354" t="s">
        <v>169</v>
      </c>
      <c r="L354" t="str">
        <f t="shared" si="5"/>
        <v/>
      </c>
    </row>
    <row r="355" spans="1:12" x14ac:dyDescent="0.2">
      <c r="A355">
        <v>22735313</v>
      </c>
      <c r="B355">
        <v>6</v>
      </c>
      <c r="C355" t="s">
        <v>497</v>
      </c>
      <c r="D355" t="s">
        <v>64</v>
      </c>
      <c r="E355" s="9" t="s">
        <v>146</v>
      </c>
      <c r="F355" t="s">
        <v>3</v>
      </c>
      <c r="G355" s="11" t="s">
        <v>146</v>
      </c>
      <c r="H355" t="s">
        <v>65</v>
      </c>
      <c r="I355" t="s">
        <v>64</v>
      </c>
      <c r="J355" t="s">
        <v>8</v>
      </c>
      <c r="L355" t="str">
        <f t="shared" si="5"/>
        <v>TP</v>
      </c>
    </row>
    <row r="356" spans="1:12" x14ac:dyDescent="0.2">
      <c r="A356">
        <v>22735313</v>
      </c>
      <c r="B356">
        <v>6</v>
      </c>
      <c r="C356" t="s">
        <v>497</v>
      </c>
      <c r="D356" t="s">
        <v>76</v>
      </c>
      <c r="E356" s="9" t="s">
        <v>146</v>
      </c>
      <c r="F356" t="s">
        <v>3</v>
      </c>
      <c r="G356" s="11" t="s">
        <v>146</v>
      </c>
      <c r="H356" t="s">
        <v>77</v>
      </c>
      <c r="I356" t="s">
        <v>76</v>
      </c>
      <c r="J356" t="s">
        <v>8</v>
      </c>
      <c r="L356" t="str">
        <f t="shared" si="5"/>
        <v>TP</v>
      </c>
    </row>
    <row r="357" spans="1:12" x14ac:dyDescent="0.2">
      <c r="A357">
        <v>22735313</v>
      </c>
      <c r="B357">
        <v>7</v>
      </c>
      <c r="C357" t="s">
        <v>498</v>
      </c>
      <c r="D357" t="s">
        <v>486</v>
      </c>
      <c r="E357" s="9" t="s">
        <v>146</v>
      </c>
      <c r="F357" t="s">
        <v>3</v>
      </c>
      <c r="G357" s="11" t="s">
        <v>146</v>
      </c>
      <c r="H357" t="s">
        <v>65</v>
      </c>
      <c r="I357" t="s">
        <v>64</v>
      </c>
      <c r="J357" t="s">
        <v>8</v>
      </c>
      <c r="L357" t="str">
        <f t="shared" si="5"/>
        <v>TP</v>
      </c>
    </row>
    <row r="358" spans="1:12" x14ac:dyDescent="0.2">
      <c r="A358">
        <v>22735313</v>
      </c>
      <c r="B358">
        <v>7</v>
      </c>
      <c r="C358" t="s">
        <v>498</v>
      </c>
      <c r="D358" t="s">
        <v>76</v>
      </c>
      <c r="E358" s="9" t="s">
        <v>146</v>
      </c>
      <c r="F358" t="s">
        <v>3</v>
      </c>
      <c r="G358" s="11" t="s">
        <v>146</v>
      </c>
      <c r="H358" t="s">
        <v>77</v>
      </c>
      <c r="I358" t="s">
        <v>76</v>
      </c>
      <c r="J358" t="s">
        <v>8</v>
      </c>
      <c r="L358" t="str">
        <f t="shared" si="5"/>
        <v>TP</v>
      </c>
    </row>
    <row r="359" spans="1:12" x14ac:dyDescent="0.2">
      <c r="A359">
        <v>22735313</v>
      </c>
      <c r="B359">
        <v>8</v>
      </c>
      <c r="C359" t="s">
        <v>499</v>
      </c>
      <c r="D359" t="s">
        <v>57</v>
      </c>
      <c r="E359" s="9" t="s">
        <v>38</v>
      </c>
      <c r="F359" t="s">
        <v>3</v>
      </c>
      <c r="G359" s="11" t="s">
        <v>38</v>
      </c>
      <c r="J359" t="s">
        <v>169</v>
      </c>
      <c r="L359" t="str">
        <f t="shared" si="5"/>
        <v/>
      </c>
    </row>
    <row r="360" spans="1:12" x14ac:dyDescent="0.2">
      <c r="A360">
        <v>22735313</v>
      </c>
      <c r="B360">
        <v>8</v>
      </c>
      <c r="C360" t="s">
        <v>499</v>
      </c>
      <c r="D360" t="s">
        <v>227</v>
      </c>
      <c r="E360" s="9" t="s">
        <v>146</v>
      </c>
      <c r="F360" t="s">
        <v>61</v>
      </c>
      <c r="G360" s="11" t="s">
        <v>146</v>
      </c>
      <c r="L360" t="str">
        <f t="shared" si="5"/>
        <v>TP</v>
      </c>
    </row>
    <row r="361" spans="1:12" x14ac:dyDescent="0.2">
      <c r="A361">
        <v>22735313</v>
      </c>
      <c r="B361">
        <v>9</v>
      </c>
      <c r="C361" t="s">
        <v>500</v>
      </c>
      <c r="E361" s="9" t="s">
        <v>169</v>
      </c>
      <c r="G361" s="11" t="s">
        <v>169</v>
      </c>
      <c r="J361" t="s">
        <v>169</v>
      </c>
      <c r="L361" t="str">
        <f t="shared" si="5"/>
        <v/>
      </c>
    </row>
    <row r="362" spans="1:12" x14ac:dyDescent="0.2">
      <c r="A362">
        <v>22735313</v>
      </c>
      <c r="B362">
        <v>10</v>
      </c>
      <c r="C362" t="s">
        <v>501</v>
      </c>
      <c r="E362" s="9" t="s">
        <v>169</v>
      </c>
      <c r="G362" s="11" t="s">
        <v>169</v>
      </c>
      <c r="J362" t="s">
        <v>169</v>
      </c>
      <c r="L362" t="str">
        <f t="shared" si="5"/>
        <v/>
      </c>
    </row>
    <row r="363" spans="1:12" x14ac:dyDescent="0.2">
      <c r="A363">
        <v>22735313</v>
      </c>
      <c r="B363">
        <v>11</v>
      </c>
      <c r="C363" t="s">
        <v>502</v>
      </c>
      <c r="D363" t="s">
        <v>503</v>
      </c>
      <c r="E363" s="9" t="s">
        <v>146</v>
      </c>
      <c r="F363" t="s">
        <v>99</v>
      </c>
      <c r="G363" s="11" t="s">
        <v>167</v>
      </c>
      <c r="L363" t="str">
        <f t="shared" si="5"/>
        <v>FP</v>
      </c>
    </row>
    <row r="364" spans="1:12" x14ac:dyDescent="0.2">
      <c r="A364">
        <v>22735313</v>
      </c>
      <c r="B364">
        <v>11</v>
      </c>
      <c r="C364" t="s">
        <v>502</v>
      </c>
      <c r="D364" t="s">
        <v>486</v>
      </c>
      <c r="E364" s="9" t="s">
        <v>146</v>
      </c>
      <c r="F364" t="s">
        <v>3</v>
      </c>
      <c r="G364" s="11" t="s">
        <v>146</v>
      </c>
      <c r="H364" t="s">
        <v>65</v>
      </c>
      <c r="I364" t="s">
        <v>64</v>
      </c>
      <c r="J364" t="s">
        <v>8</v>
      </c>
      <c r="L364" t="str">
        <f t="shared" si="5"/>
        <v>TP</v>
      </c>
    </row>
    <row r="365" spans="1:12" x14ac:dyDescent="0.2">
      <c r="A365">
        <v>22735313</v>
      </c>
      <c r="B365">
        <v>11</v>
      </c>
      <c r="C365" t="s">
        <v>502</v>
      </c>
      <c r="D365" t="s">
        <v>76</v>
      </c>
      <c r="E365" s="9" t="s">
        <v>146</v>
      </c>
      <c r="F365" t="s">
        <v>3</v>
      </c>
      <c r="G365" s="11" t="s">
        <v>146</v>
      </c>
      <c r="H365" t="s">
        <v>77</v>
      </c>
      <c r="I365" t="s">
        <v>76</v>
      </c>
      <c r="J365" t="s">
        <v>8</v>
      </c>
      <c r="L365" t="str">
        <f t="shared" si="5"/>
        <v>TP</v>
      </c>
    </row>
    <row r="366" spans="1:12" x14ac:dyDescent="0.2">
      <c r="A366">
        <v>2925680</v>
      </c>
      <c r="B366">
        <v>0</v>
      </c>
      <c r="C366" t="s">
        <v>538</v>
      </c>
      <c r="D366" t="s">
        <v>539</v>
      </c>
      <c r="E366" s="9" t="s">
        <v>146</v>
      </c>
      <c r="F366" t="s">
        <v>61</v>
      </c>
      <c r="G366" s="11" t="s">
        <v>146</v>
      </c>
      <c r="L366" t="str">
        <f t="shared" si="5"/>
        <v>TP</v>
      </c>
    </row>
    <row r="367" spans="1:12" x14ac:dyDescent="0.2">
      <c r="A367">
        <v>2925680</v>
      </c>
      <c r="B367">
        <v>0</v>
      </c>
      <c r="C367" t="s">
        <v>538</v>
      </c>
      <c r="D367" t="s">
        <v>540</v>
      </c>
      <c r="E367" s="9" t="s">
        <v>146</v>
      </c>
      <c r="F367" t="s">
        <v>44</v>
      </c>
      <c r="G367" s="11" t="s">
        <v>146</v>
      </c>
      <c r="L367" t="str">
        <f t="shared" si="5"/>
        <v>TP</v>
      </c>
    </row>
    <row r="368" spans="1:12" x14ac:dyDescent="0.2">
      <c r="A368">
        <v>2925680</v>
      </c>
      <c r="B368">
        <v>1</v>
      </c>
      <c r="C368" t="s">
        <v>541</v>
      </c>
      <c r="D368" t="s">
        <v>542</v>
      </c>
      <c r="E368" s="9" t="s">
        <v>146</v>
      </c>
      <c r="F368" t="s">
        <v>44</v>
      </c>
      <c r="G368" s="11" t="s">
        <v>146</v>
      </c>
      <c r="L368" t="str">
        <f t="shared" si="5"/>
        <v>TP</v>
      </c>
    </row>
    <row r="369" spans="1:12" x14ac:dyDescent="0.2">
      <c r="A369">
        <v>2925680</v>
      </c>
      <c r="B369">
        <v>1</v>
      </c>
      <c r="C369" t="s">
        <v>541</v>
      </c>
      <c r="D369" t="s">
        <v>543</v>
      </c>
      <c r="E369" s="9" t="s">
        <v>146</v>
      </c>
      <c r="F369" t="s">
        <v>61</v>
      </c>
      <c r="G369" s="11" t="s">
        <v>146</v>
      </c>
      <c r="L369" t="str">
        <f t="shared" si="5"/>
        <v>TP</v>
      </c>
    </row>
    <row r="370" spans="1:12" x14ac:dyDescent="0.2">
      <c r="A370">
        <v>2925680</v>
      </c>
      <c r="B370">
        <v>2</v>
      </c>
      <c r="C370" t="s">
        <v>544</v>
      </c>
      <c r="D370" t="s">
        <v>545</v>
      </c>
      <c r="E370" s="9" t="s">
        <v>146</v>
      </c>
      <c r="F370" t="s">
        <v>44</v>
      </c>
      <c r="G370" s="11" t="s">
        <v>146</v>
      </c>
      <c r="L370" t="str">
        <f t="shared" si="5"/>
        <v>TP</v>
      </c>
    </row>
    <row r="371" spans="1:12" x14ac:dyDescent="0.2">
      <c r="A371">
        <v>2925680</v>
      </c>
      <c r="B371">
        <v>3</v>
      </c>
      <c r="C371" t="s">
        <v>546</v>
      </c>
      <c r="D371" t="s">
        <v>547</v>
      </c>
      <c r="E371" s="9" t="s">
        <v>146</v>
      </c>
      <c r="F371" t="s">
        <v>44</v>
      </c>
      <c r="G371" s="11" t="s">
        <v>146</v>
      </c>
      <c r="L371" t="str">
        <f t="shared" si="5"/>
        <v>TP</v>
      </c>
    </row>
    <row r="372" spans="1:12" x14ac:dyDescent="0.2">
      <c r="A372">
        <v>2925680</v>
      </c>
      <c r="B372">
        <v>3</v>
      </c>
      <c r="C372" t="s">
        <v>546</v>
      </c>
      <c r="D372" t="s">
        <v>548</v>
      </c>
      <c r="E372" s="9" t="s">
        <v>146</v>
      </c>
      <c r="F372" t="s">
        <v>61</v>
      </c>
      <c r="G372" s="11" t="s">
        <v>146</v>
      </c>
      <c r="L372" t="str">
        <f t="shared" si="5"/>
        <v>TP</v>
      </c>
    </row>
    <row r="373" spans="1:12" x14ac:dyDescent="0.2">
      <c r="A373">
        <v>2925680</v>
      </c>
      <c r="B373">
        <v>3</v>
      </c>
      <c r="C373" t="s">
        <v>546</v>
      </c>
      <c r="D373" t="s">
        <v>549</v>
      </c>
      <c r="E373" s="9" t="s">
        <v>146</v>
      </c>
      <c r="F373" t="s">
        <v>61</v>
      </c>
      <c r="G373" s="11" t="s">
        <v>146</v>
      </c>
      <c r="L373" t="str">
        <f t="shared" si="5"/>
        <v>TP</v>
      </c>
    </row>
    <row r="374" spans="1:12" x14ac:dyDescent="0.2">
      <c r="A374">
        <v>2925680</v>
      </c>
      <c r="B374">
        <v>4</v>
      </c>
      <c r="C374" t="s">
        <v>550</v>
      </c>
      <c r="D374" t="s">
        <v>197</v>
      </c>
      <c r="E374" s="9" t="s">
        <v>38</v>
      </c>
      <c r="F374" t="s">
        <v>38</v>
      </c>
      <c r="G374" s="11" t="s">
        <v>38</v>
      </c>
      <c r="L374" t="str">
        <f t="shared" si="5"/>
        <v/>
      </c>
    </row>
    <row r="375" spans="1:12" x14ac:dyDescent="0.2">
      <c r="A375">
        <v>2925680</v>
      </c>
      <c r="B375">
        <v>5</v>
      </c>
      <c r="C375" t="s">
        <v>551</v>
      </c>
      <c r="D375" t="s">
        <v>547</v>
      </c>
      <c r="E375" s="9" t="s">
        <v>146</v>
      </c>
      <c r="F375" t="s">
        <v>44</v>
      </c>
      <c r="G375" s="11" t="s">
        <v>146</v>
      </c>
      <c r="L375" t="str">
        <f t="shared" si="5"/>
        <v>TP</v>
      </c>
    </row>
    <row r="376" spans="1:12" x14ac:dyDescent="0.2">
      <c r="A376">
        <v>2925680</v>
      </c>
      <c r="B376">
        <v>6</v>
      </c>
      <c r="C376" t="s">
        <v>552</v>
      </c>
      <c r="D376" t="s">
        <v>549</v>
      </c>
      <c r="E376" s="9" t="s">
        <v>146</v>
      </c>
      <c r="F376" t="s">
        <v>61</v>
      </c>
      <c r="G376" s="11" t="s">
        <v>146</v>
      </c>
      <c r="L376" t="str">
        <f t="shared" si="5"/>
        <v>TP</v>
      </c>
    </row>
    <row r="377" spans="1:12" x14ac:dyDescent="0.2">
      <c r="A377">
        <v>2925680</v>
      </c>
      <c r="B377">
        <v>7</v>
      </c>
      <c r="C377" t="s">
        <v>553</v>
      </c>
      <c r="E377" s="9" t="s">
        <v>169</v>
      </c>
      <c r="G377" s="11" t="s">
        <v>169</v>
      </c>
      <c r="L377" t="str">
        <f t="shared" si="5"/>
        <v/>
      </c>
    </row>
    <row r="378" spans="1:12" x14ac:dyDescent="0.2">
      <c r="A378">
        <v>2925680</v>
      </c>
      <c r="B378">
        <v>8</v>
      </c>
      <c r="C378" t="s">
        <v>554</v>
      </c>
      <c r="D378" t="s">
        <v>555</v>
      </c>
      <c r="E378" s="9" t="s">
        <v>38</v>
      </c>
      <c r="F378" t="s">
        <v>44</v>
      </c>
      <c r="G378" s="11" t="s">
        <v>38</v>
      </c>
      <c r="L378" t="str">
        <f t="shared" si="5"/>
        <v/>
      </c>
    </row>
    <row r="379" spans="1:12" x14ac:dyDescent="0.2">
      <c r="A379">
        <v>2925680</v>
      </c>
      <c r="B379">
        <v>9</v>
      </c>
      <c r="C379" t="s">
        <v>556</v>
      </c>
      <c r="D379" t="s">
        <v>548</v>
      </c>
      <c r="E379" s="9" t="s">
        <v>146</v>
      </c>
      <c r="F379" t="s">
        <v>61</v>
      </c>
      <c r="G379" s="11" t="s">
        <v>146</v>
      </c>
      <c r="L379" t="str">
        <f t="shared" si="5"/>
        <v>TP</v>
      </c>
    </row>
    <row r="380" spans="1:12" x14ac:dyDescent="0.2">
      <c r="A380">
        <v>2925680</v>
      </c>
      <c r="B380">
        <v>9</v>
      </c>
      <c r="C380" t="s">
        <v>556</v>
      </c>
      <c r="D380" t="s">
        <v>547</v>
      </c>
      <c r="E380" s="9" t="s">
        <v>146</v>
      </c>
      <c r="F380" t="s">
        <v>44</v>
      </c>
      <c r="G380" s="11" t="s">
        <v>146</v>
      </c>
      <c r="L380" t="str">
        <f t="shared" si="5"/>
        <v>TP</v>
      </c>
    </row>
    <row r="381" spans="1:12" x14ac:dyDescent="0.2">
      <c r="A381">
        <v>2925680</v>
      </c>
      <c r="B381">
        <v>10</v>
      </c>
      <c r="C381" t="s">
        <v>557</v>
      </c>
      <c r="D381" t="s">
        <v>558</v>
      </c>
      <c r="E381" s="9" t="s">
        <v>38</v>
      </c>
      <c r="F381" t="s">
        <v>38</v>
      </c>
      <c r="G381" s="11" t="s">
        <v>38</v>
      </c>
      <c r="L381" t="str">
        <f t="shared" si="5"/>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EE84B-00C1-F247-B6FB-C965DF29990D}">
  <dimension ref="A1:J555"/>
  <sheetViews>
    <sheetView tabSelected="1" topLeftCell="A223" workbookViewId="0">
      <selection activeCell="C245" sqref="C245"/>
    </sheetView>
  </sheetViews>
  <sheetFormatPr baseColWidth="10" defaultRowHeight="16" x14ac:dyDescent="0.2"/>
  <cols>
    <col min="3" max="3" width="59.33203125" customWidth="1"/>
    <col min="4" max="4" width="39.1640625" customWidth="1"/>
    <col min="5" max="5" width="14.1640625" customWidth="1"/>
    <col min="7" max="7" width="15.83203125" customWidth="1"/>
    <col min="8" max="8" width="43.33203125" customWidth="1"/>
  </cols>
  <sheetData>
    <row r="1" spans="1:9" x14ac:dyDescent="0.2">
      <c r="A1" s="1" t="s">
        <v>29</v>
      </c>
      <c r="B1" s="4" t="s">
        <v>29</v>
      </c>
      <c r="C1" s="1" t="s">
        <v>30</v>
      </c>
      <c r="D1" s="1" t="s">
        <v>31</v>
      </c>
      <c r="E1" s="2" t="s">
        <v>170</v>
      </c>
      <c r="F1" s="2" t="s">
        <v>32</v>
      </c>
      <c r="G1" s="2" t="s">
        <v>171</v>
      </c>
      <c r="H1" s="2" t="s">
        <v>562</v>
      </c>
      <c r="I1" s="2" t="s">
        <v>567</v>
      </c>
    </row>
    <row r="2" spans="1:9" x14ac:dyDescent="0.2">
      <c r="A2">
        <v>1851822</v>
      </c>
      <c r="B2">
        <v>0</v>
      </c>
      <c r="C2" t="s">
        <v>568</v>
      </c>
      <c r="D2" t="s">
        <v>569</v>
      </c>
      <c r="E2" t="s">
        <v>146</v>
      </c>
      <c r="F2" t="s">
        <v>44</v>
      </c>
      <c r="G2" t="s">
        <v>146</v>
      </c>
      <c r="I2" t="str">
        <f>IF(OR(E2="FP",G2="FP"),"FP",IF(AND(E2="TP",E2="TP"),"TP",""))</f>
        <v>TP</v>
      </c>
    </row>
    <row r="3" spans="1:9" x14ac:dyDescent="0.2">
      <c r="A3">
        <v>1851822</v>
      </c>
      <c r="B3">
        <v>1</v>
      </c>
      <c r="C3" t="s">
        <v>570</v>
      </c>
      <c r="D3" t="s">
        <v>571</v>
      </c>
      <c r="E3" t="s">
        <v>146</v>
      </c>
      <c r="F3" t="s">
        <v>44</v>
      </c>
      <c r="G3" t="s">
        <v>146</v>
      </c>
      <c r="I3" t="str">
        <f t="shared" ref="I3:I66" si="0">IF(OR(E3="FP",G3="FP"),"FP",IF(AND(E3="TP",E3="TP"),"TP",""))</f>
        <v>TP</v>
      </c>
    </row>
    <row r="4" spans="1:9" x14ac:dyDescent="0.2">
      <c r="A4">
        <v>1851822</v>
      </c>
      <c r="B4">
        <v>1</v>
      </c>
      <c r="C4" t="s">
        <v>570</v>
      </c>
      <c r="D4" t="s">
        <v>572</v>
      </c>
      <c r="E4" t="s">
        <v>1086</v>
      </c>
      <c r="F4" t="s">
        <v>38</v>
      </c>
      <c r="G4" t="s">
        <v>1086</v>
      </c>
      <c r="I4" t="str">
        <f t="shared" si="0"/>
        <v/>
      </c>
    </row>
    <row r="5" spans="1:9" x14ac:dyDescent="0.2">
      <c r="A5">
        <v>1851822</v>
      </c>
      <c r="B5">
        <v>2</v>
      </c>
      <c r="C5" t="s">
        <v>573</v>
      </c>
      <c r="D5" t="s">
        <v>574</v>
      </c>
      <c r="E5" t="s">
        <v>1086</v>
      </c>
      <c r="F5" t="s">
        <v>38</v>
      </c>
      <c r="G5" t="s">
        <v>1086</v>
      </c>
      <c r="I5" t="str">
        <f t="shared" si="0"/>
        <v/>
      </c>
    </row>
    <row r="6" spans="1:9" x14ac:dyDescent="0.2">
      <c r="A6">
        <v>1851822</v>
      </c>
      <c r="B6">
        <v>3</v>
      </c>
      <c r="C6" t="s">
        <v>575</v>
      </c>
      <c r="H6" t="s">
        <v>583</v>
      </c>
      <c r="I6" t="str">
        <f t="shared" si="0"/>
        <v/>
      </c>
    </row>
    <row r="7" spans="1:9" x14ac:dyDescent="0.2">
      <c r="A7">
        <v>1851822</v>
      </c>
      <c r="B7">
        <v>4</v>
      </c>
      <c r="C7" t="s">
        <v>576</v>
      </c>
      <c r="H7" t="s">
        <v>583</v>
      </c>
      <c r="I7" t="str">
        <f t="shared" si="0"/>
        <v/>
      </c>
    </row>
    <row r="8" spans="1:9" x14ac:dyDescent="0.2">
      <c r="A8">
        <v>1851822</v>
      </c>
      <c r="B8">
        <v>5</v>
      </c>
      <c r="C8" t="s">
        <v>577</v>
      </c>
      <c r="H8" t="s">
        <v>583</v>
      </c>
      <c r="I8" t="str">
        <f t="shared" si="0"/>
        <v/>
      </c>
    </row>
    <row r="9" spans="1:9" x14ac:dyDescent="0.2">
      <c r="A9">
        <v>1851822</v>
      </c>
      <c r="B9">
        <v>6</v>
      </c>
      <c r="C9" t="s">
        <v>578</v>
      </c>
      <c r="H9" t="s">
        <v>583</v>
      </c>
      <c r="I9" t="str">
        <f t="shared" si="0"/>
        <v/>
      </c>
    </row>
    <row r="10" spans="1:9" x14ac:dyDescent="0.2">
      <c r="A10">
        <v>1851822</v>
      </c>
      <c r="B10">
        <v>7</v>
      </c>
      <c r="C10" t="s">
        <v>579</v>
      </c>
      <c r="I10" t="str">
        <f t="shared" si="0"/>
        <v/>
      </c>
    </row>
    <row r="11" spans="1:9" x14ac:dyDescent="0.2">
      <c r="A11">
        <v>1851822</v>
      </c>
      <c r="B11">
        <v>8</v>
      </c>
      <c r="C11" t="s">
        <v>580</v>
      </c>
      <c r="I11" t="str">
        <f t="shared" si="0"/>
        <v/>
      </c>
    </row>
    <row r="12" spans="1:9" x14ac:dyDescent="0.2">
      <c r="A12">
        <v>1851822</v>
      </c>
      <c r="B12">
        <v>9</v>
      </c>
      <c r="C12" t="s">
        <v>581</v>
      </c>
      <c r="I12" t="str">
        <f t="shared" si="0"/>
        <v/>
      </c>
    </row>
    <row r="13" spans="1:9" x14ac:dyDescent="0.2">
      <c r="A13">
        <v>1851822</v>
      </c>
      <c r="B13">
        <v>10</v>
      </c>
      <c r="C13" t="s">
        <v>582</v>
      </c>
      <c r="D13" t="s">
        <v>583</v>
      </c>
      <c r="E13" t="s">
        <v>146</v>
      </c>
      <c r="F13" t="s">
        <v>44</v>
      </c>
      <c r="G13" t="s">
        <v>146</v>
      </c>
      <c r="I13" t="str">
        <f t="shared" si="0"/>
        <v>TP</v>
      </c>
    </row>
    <row r="14" spans="1:9" x14ac:dyDescent="0.2">
      <c r="A14">
        <v>1851822</v>
      </c>
      <c r="B14">
        <v>11</v>
      </c>
      <c r="C14" t="s">
        <v>584</v>
      </c>
      <c r="D14" t="s">
        <v>583</v>
      </c>
      <c r="E14" t="s">
        <v>146</v>
      </c>
      <c r="F14" t="s">
        <v>44</v>
      </c>
      <c r="G14" t="s">
        <v>146</v>
      </c>
      <c r="I14" t="str">
        <f t="shared" si="0"/>
        <v>TP</v>
      </c>
    </row>
    <row r="15" spans="1:9" x14ac:dyDescent="0.2">
      <c r="A15">
        <v>1851822</v>
      </c>
      <c r="B15">
        <v>12</v>
      </c>
      <c r="C15" t="s">
        <v>585</v>
      </c>
      <c r="I15" t="str">
        <f t="shared" si="0"/>
        <v/>
      </c>
    </row>
    <row r="16" spans="1:9" x14ac:dyDescent="0.2">
      <c r="A16">
        <v>2065054</v>
      </c>
      <c r="B16">
        <v>0</v>
      </c>
      <c r="C16" t="s">
        <v>586</v>
      </c>
      <c r="D16" t="s">
        <v>587</v>
      </c>
      <c r="E16" t="s">
        <v>1086</v>
      </c>
      <c r="F16" t="s">
        <v>44</v>
      </c>
      <c r="G16" t="s">
        <v>1086</v>
      </c>
      <c r="I16" t="str">
        <f t="shared" si="0"/>
        <v/>
      </c>
    </row>
    <row r="17" spans="1:9" x14ac:dyDescent="0.2">
      <c r="A17">
        <v>2065054</v>
      </c>
      <c r="B17">
        <v>1</v>
      </c>
      <c r="C17" t="s">
        <v>588</v>
      </c>
      <c r="I17" t="str">
        <f t="shared" si="0"/>
        <v/>
      </c>
    </row>
    <row r="18" spans="1:9" x14ac:dyDescent="0.2">
      <c r="A18">
        <v>2065054</v>
      </c>
      <c r="B18">
        <v>2</v>
      </c>
      <c r="C18" t="s">
        <v>589</v>
      </c>
      <c r="I18" t="str">
        <f t="shared" si="0"/>
        <v/>
      </c>
    </row>
    <row r="19" spans="1:9" x14ac:dyDescent="0.2">
      <c r="A19">
        <v>2065054</v>
      </c>
      <c r="B19">
        <v>3</v>
      </c>
      <c r="C19" t="s">
        <v>590</v>
      </c>
      <c r="I19" t="str">
        <f t="shared" si="0"/>
        <v/>
      </c>
    </row>
    <row r="20" spans="1:9" x14ac:dyDescent="0.2">
      <c r="A20">
        <v>2065054</v>
      </c>
      <c r="B20">
        <v>4</v>
      </c>
      <c r="C20" t="s">
        <v>591</v>
      </c>
      <c r="D20" t="s">
        <v>592</v>
      </c>
      <c r="E20" t="s">
        <v>1086</v>
      </c>
      <c r="F20" t="s">
        <v>44</v>
      </c>
      <c r="G20" t="s">
        <v>1086</v>
      </c>
      <c r="I20" t="str">
        <f t="shared" si="0"/>
        <v/>
      </c>
    </row>
    <row r="21" spans="1:9" x14ac:dyDescent="0.2">
      <c r="A21">
        <v>2065054</v>
      </c>
      <c r="B21">
        <v>5</v>
      </c>
      <c r="C21" t="s">
        <v>593</v>
      </c>
      <c r="D21" t="s">
        <v>594</v>
      </c>
      <c r="E21" t="s">
        <v>1086</v>
      </c>
      <c r="F21" t="s">
        <v>38</v>
      </c>
      <c r="G21" t="s">
        <v>1086</v>
      </c>
      <c r="I21" t="str">
        <f t="shared" si="0"/>
        <v/>
      </c>
    </row>
    <row r="22" spans="1:9" x14ac:dyDescent="0.2">
      <c r="A22">
        <v>2065054</v>
      </c>
      <c r="B22">
        <v>5</v>
      </c>
      <c r="C22" t="s">
        <v>593</v>
      </c>
      <c r="D22" t="s">
        <v>558</v>
      </c>
      <c r="E22" t="s">
        <v>1086</v>
      </c>
      <c r="F22" t="s">
        <v>38</v>
      </c>
      <c r="G22" t="s">
        <v>1086</v>
      </c>
      <c r="I22" t="str">
        <f t="shared" si="0"/>
        <v/>
      </c>
    </row>
    <row r="23" spans="1:9" x14ac:dyDescent="0.2">
      <c r="A23">
        <v>2065054</v>
      </c>
      <c r="B23">
        <v>6</v>
      </c>
      <c r="C23" t="s">
        <v>595</v>
      </c>
      <c r="D23" t="s">
        <v>596</v>
      </c>
      <c r="E23" t="s">
        <v>1086</v>
      </c>
      <c r="F23" t="s">
        <v>44</v>
      </c>
      <c r="G23" t="s">
        <v>1086</v>
      </c>
      <c r="I23" t="str">
        <f t="shared" si="0"/>
        <v/>
      </c>
    </row>
    <row r="24" spans="1:9" x14ac:dyDescent="0.2">
      <c r="A24">
        <v>2065054</v>
      </c>
      <c r="B24">
        <v>6</v>
      </c>
      <c r="C24" t="s">
        <v>595</v>
      </c>
      <c r="D24" t="s">
        <v>597</v>
      </c>
      <c r="E24" t="s">
        <v>146</v>
      </c>
      <c r="F24" t="s">
        <v>44</v>
      </c>
      <c r="G24" t="s">
        <v>146</v>
      </c>
      <c r="I24" t="str">
        <f t="shared" si="0"/>
        <v>TP</v>
      </c>
    </row>
    <row r="25" spans="1:9" x14ac:dyDescent="0.2">
      <c r="A25">
        <v>2065054</v>
      </c>
      <c r="B25">
        <v>6</v>
      </c>
      <c r="C25" t="s">
        <v>595</v>
      </c>
      <c r="D25" t="s">
        <v>598</v>
      </c>
      <c r="E25" t="s">
        <v>146</v>
      </c>
      <c r="F25" t="s">
        <v>44</v>
      </c>
      <c r="G25" t="s">
        <v>146</v>
      </c>
      <c r="I25" t="str">
        <f t="shared" si="0"/>
        <v>TP</v>
      </c>
    </row>
    <row r="26" spans="1:9" x14ac:dyDescent="0.2">
      <c r="A26">
        <v>2065054</v>
      </c>
      <c r="B26">
        <v>6</v>
      </c>
      <c r="C26" t="s">
        <v>595</v>
      </c>
      <c r="D26" t="s">
        <v>599</v>
      </c>
      <c r="E26" t="s">
        <v>146</v>
      </c>
      <c r="F26" t="s">
        <v>44</v>
      </c>
      <c r="G26" t="s">
        <v>146</v>
      </c>
      <c r="I26" t="str">
        <f t="shared" si="0"/>
        <v>TP</v>
      </c>
    </row>
    <row r="27" spans="1:9" x14ac:dyDescent="0.2">
      <c r="A27">
        <v>2065054</v>
      </c>
      <c r="B27">
        <v>6</v>
      </c>
      <c r="C27" t="s">
        <v>595</v>
      </c>
      <c r="D27" t="s">
        <v>600</v>
      </c>
      <c r="E27" t="s">
        <v>146</v>
      </c>
      <c r="F27" t="s">
        <v>44</v>
      </c>
      <c r="G27" t="s">
        <v>146</v>
      </c>
      <c r="I27" t="str">
        <f t="shared" si="0"/>
        <v>TP</v>
      </c>
    </row>
    <row r="28" spans="1:9" x14ac:dyDescent="0.2">
      <c r="A28">
        <v>2065054</v>
      </c>
      <c r="B28">
        <v>6</v>
      </c>
      <c r="C28" t="s">
        <v>595</v>
      </c>
      <c r="D28" t="s">
        <v>601</v>
      </c>
      <c r="E28" t="s">
        <v>1086</v>
      </c>
      <c r="F28" t="s">
        <v>44</v>
      </c>
      <c r="G28" t="s">
        <v>1086</v>
      </c>
      <c r="I28" t="str">
        <f t="shared" si="0"/>
        <v/>
      </c>
    </row>
    <row r="29" spans="1:9" x14ac:dyDescent="0.2">
      <c r="A29">
        <v>2065054</v>
      </c>
      <c r="B29">
        <v>6</v>
      </c>
      <c r="C29" t="s">
        <v>595</v>
      </c>
      <c r="D29" t="s">
        <v>602</v>
      </c>
      <c r="E29" t="s">
        <v>146</v>
      </c>
      <c r="F29" t="s">
        <v>44</v>
      </c>
      <c r="G29" t="s">
        <v>146</v>
      </c>
      <c r="I29" t="str">
        <f t="shared" si="0"/>
        <v>TP</v>
      </c>
    </row>
    <row r="30" spans="1:9" x14ac:dyDescent="0.2">
      <c r="A30">
        <v>2065054</v>
      </c>
      <c r="B30">
        <v>7</v>
      </c>
      <c r="C30" t="s">
        <v>603</v>
      </c>
      <c r="D30" t="s">
        <v>604</v>
      </c>
      <c r="E30" t="s">
        <v>146</v>
      </c>
      <c r="F30" t="s">
        <v>605</v>
      </c>
      <c r="G30" t="s">
        <v>146</v>
      </c>
      <c r="I30" t="str">
        <f t="shared" si="0"/>
        <v>TP</v>
      </c>
    </row>
    <row r="31" spans="1:9" x14ac:dyDescent="0.2">
      <c r="A31">
        <v>2065054</v>
      </c>
      <c r="B31">
        <v>7</v>
      </c>
      <c r="C31" t="s">
        <v>603</v>
      </c>
      <c r="D31" t="s">
        <v>606</v>
      </c>
      <c r="E31" t="s">
        <v>146</v>
      </c>
      <c r="F31" t="s">
        <v>605</v>
      </c>
      <c r="G31" t="s">
        <v>146</v>
      </c>
      <c r="I31" t="str">
        <f t="shared" si="0"/>
        <v>TP</v>
      </c>
    </row>
    <row r="32" spans="1:9" x14ac:dyDescent="0.2">
      <c r="A32">
        <v>2065054</v>
      </c>
      <c r="B32">
        <v>7</v>
      </c>
      <c r="C32" t="s">
        <v>603</v>
      </c>
      <c r="D32" t="s">
        <v>607</v>
      </c>
      <c r="E32" t="s">
        <v>146</v>
      </c>
      <c r="F32" t="s">
        <v>605</v>
      </c>
      <c r="G32" t="s">
        <v>146</v>
      </c>
      <c r="I32" t="str">
        <f t="shared" si="0"/>
        <v>TP</v>
      </c>
    </row>
    <row r="33" spans="1:9" x14ac:dyDescent="0.2">
      <c r="A33">
        <v>2303428</v>
      </c>
      <c r="B33">
        <v>0</v>
      </c>
      <c r="C33" t="s">
        <v>608</v>
      </c>
      <c r="D33" t="s">
        <v>609</v>
      </c>
      <c r="E33" t="s">
        <v>146</v>
      </c>
      <c r="F33" t="s">
        <v>3</v>
      </c>
      <c r="G33" t="s">
        <v>146</v>
      </c>
      <c r="I33" t="str">
        <f t="shared" si="0"/>
        <v>TP</v>
      </c>
    </row>
    <row r="34" spans="1:9" x14ac:dyDescent="0.2">
      <c r="A34">
        <v>2303428</v>
      </c>
      <c r="B34">
        <v>0</v>
      </c>
      <c r="C34" t="s">
        <v>608</v>
      </c>
      <c r="D34" t="s">
        <v>610</v>
      </c>
      <c r="E34" t="s">
        <v>146</v>
      </c>
      <c r="F34" t="s">
        <v>44</v>
      </c>
      <c r="G34" t="s">
        <v>146</v>
      </c>
      <c r="H34" t="s">
        <v>1087</v>
      </c>
      <c r="I34" t="str">
        <f t="shared" si="0"/>
        <v>TP</v>
      </c>
    </row>
    <row r="35" spans="1:9" x14ac:dyDescent="0.2">
      <c r="A35">
        <v>2303428</v>
      </c>
      <c r="B35">
        <v>1</v>
      </c>
      <c r="C35" t="s">
        <v>611</v>
      </c>
      <c r="I35" t="str">
        <f t="shared" si="0"/>
        <v/>
      </c>
    </row>
    <row r="36" spans="1:9" x14ac:dyDescent="0.2">
      <c r="A36">
        <v>2303428</v>
      </c>
      <c r="B36">
        <v>2</v>
      </c>
      <c r="C36" t="s">
        <v>612</v>
      </c>
      <c r="D36" t="s">
        <v>67</v>
      </c>
      <c r="E36" t="s">
        <v>146</v>
      </c>
      <c r="F36" t="s">
        <v>3</v>
      </c>
      <c r="G36" t="s">
        <v>146</v>
      </c>
      <c r="I36" t="str">
        <f t="shared" si="0"/>
        <v>TP</v>
      </c>
    </row>
    <row r="37" spans="1:9" x14ac:dyDescent="0.2">
      <c r="A37">
        <v>2303428</v>
      </c>
      <c r="B37">
        <v>2</v>
      </c>
      <c r="C37" t="s">
        <v>612</v>
      </c>
      <c r="D37" t="s">
        <v>69</v>
      </c>
      <c r="E37" t="s">
        <v>1086</v>
      </c>
      <c r="F37" t="s">
        <v>3</v>
      </c>
      <c r="G37" t="s">
        <v>1086</v>
      </c>
      <c r="I37" t="str">
        <f t="shared" si="0"/>
        <v/>
      </c>
    </row>
    <row r="38" spans="1:9" x14ac:dyDescent="0.2">
      <c r="A38">
        <v>2303428</v>
      </c>
      <c r="B38">
        <v>3</v>
      </c>
      <c r="C38" t="s">
        <v>613</v>
      </c>
      <c r="D38" t="s">
        <v>614</v>
      </c>
      <c r="E38" t="s">
        <v>1086</v>
      </c>
      <c r="F38" t="s">
        <v>38</v>
      </c>
      <c r="G38" t="s">
        <v>1086</v>
      </c>
      <c r="I38" t="str">
        <f t="shared" si="0"/>
        <v/>
      </c>
    </row>
    <row r="39" spans="1:9" x14ac:dyDescent="0.2">
      <c r="A39">
        <v>2303428</v>
      </c>
      <c r="B39">
        <v>3</v>
      </c>
      <c r="C39" t="s">
        <v>613</v>
      </c>
      <c r="D39" t="s">
        <v>305</v>
      </c>
      <c r="E39" t="s">
        <v>1086</v>
      </c>
      <c r="F39" t="s">
        <v>3</v>
      </c>
      <c r="G39" t="s">
        <v>1086</v>
      </c>
      <c r="I39" t="str">
        <f t="shared" si="0"/>
        <v/>
      </c>
    </row>
    <row r="40" spans="1:9" x14ac:dyDescent="0.2">
      <c r="A40">
        <v>2303428</v>
      </c>
      <c r="B40">
        <v>4</v>
      </c>
      <c r="C40" t="s">
        <v>615</v>
      </c>
      <c r="D40" s="10" t="s">
        <v>1088</v>
      </c>
      <c r="E40" t="s">
        <v>146</v>
      </c>
      <c r="F40" t="s">
        <v>99</v>
      </c>
      <c r="G40" t="s">
        <v>146</v>
      </c>
      <c r="I40" t="str">
        <f t="shared" si="0"/>
        <v>TP</v>
      </c>
    </row>
    <row r="41" spans="1:9" x14ac:dyDescent="0.2">
      <c r="A41">
        <v>2303428</v>
      </c>
      <c r="B41">
        <v>4</v>
      </c>
      <c r="C41" t="s">
        <v>615</v>
      </c>
      <c r="D41" s="13" t="s">
        <v>78</v>
      </c>
      <c r="E41" t="s">
        <v>146</v>
      </c>
      <c r="F41" t="s">
        <v>3</v>
      </c>
      <c r="G41" t="s">
        <v>146</v>
      </c>
      <c r="I41" t="str">
        <f t="shared" si="0"/>
        <v>TP</v>
      </c>
    </row>
    <row r="42" spans="1:9" x14ac:dyDescent="0.2">
      <c r="A42">
        <v>2303428</v>
      </c>
      <c r="B42">
        <v>4</v>
      </c>
      <c r="C42" t="s">
        <v>615</v>
      </c>
      <c r="D42" s="13" t="s">
        <v>610</v>
      </c>
      <c r="E42" t="s">
        <v>146</v>
      </c>
      <c r="F42" t="s">
        <v>44</v>
      </c>
      <c r="G42" t="s">
        <v>146</v>
      </c>
      <c r="I42" t="str">
        <f t="shared" si="0"/>
        <v>TP</v>
      </c>
    </row>
    <row r="43" spans="1:9" x14ac:dyDescent="0.2">
      <c r="A43">
        <v>2303428</v>
      </c>
      <c r="B43">
        <v>5</v>
      </c>
      <c r="C43" t="s">
        <v>616</v>
      </c>
      <c r="I43" t="str">
        <f t="shared" si="0"/>
        <v/>
      </c>
    </row>
    <row r="44" spans="1:9" x14ac:dyDescent="0.2">
      <c r="A44">
        <v>2303428</v>
      </c>
      <c r="B44">
        <v>6</v>
      </c>
      <c r="C44" t="s">
        <v>617</v>
      </c>
      <c r="D44" s="14" t="s">
        <v>618</v>
      </c>
      <c r="E44" t="s">
        <v>1086</v>
      </c>
      <c r="F44" t="s">
        <v>44</v>
      </c>
      <c r="G44" t="s">
        <v>1086</v>
      </c>
      <c r="I44" t="str">
        <f t="shared" si="0"/>
        <v/>
      </c>
    </row>
    <row r="45" spans="1:9" x14ac:dyDescent="0.2">
      <c r="A45">
        <v>2303428</v>
      </c>
      <c r="B45">
        <v>6</v>
      </c>
      <c r="C45" t="s">
        <v>617</v>
      </c>
      <c r="D45" t="s">
        <v>227</v>
      </c>
      <c r="E45" t="s">
        <v>146</v>
      </c>
      <c r="F45" t="s">
        <v>61</v>
      </c>
      <c r="G45" t="s">
        <v>146</v>
      </c>
      <c r="I45" t="str">
        <f t="shared" si="0"/>
        <v>TP</v>
      </c>
    </row>
    <row r="46" spans="1:9" x14ac:dyDescent="0.2">
      <c r="A46">
        <v>2303428</v>
      </c>
      <c r="B46">
        <v>7</v>
      </c>
      <c r="C46" t="s">
        <v>619</v>
      </c>
      <c r="D46" t="s">
        <v>78</v>
      </c>
      <c r="E46" t="s">
        <v>146</v>
      </c>
      <c r="F46" t="s">
        <v>3</v>
      </c>
      <c r="G46" t="s">
        <v>146</v>
      </c>
      <c r="I46" t="str">
        <f t="shared" si="0"/>
        <v>TP</v>
      </c>
    </row>
    <row r="47" spans="1:9" x14ac:dyDescent="0.2">
      <c r="A47">
        <v>2303428</v>
      </c>
      <c r="B47">
        <v>8</v>
      </c>
      <c r="C47" t="s">
        <v>620</v>
      </c>
      <c r="I47" t="str">
        <f t="shared" si="0"/>
        <v/>
      </c>
    </row>
    <row r="48" spans="1:9" x14ac:dyDescent="0.2">
      <c r="A48">
        <v>2303428</v>
      </c>
      <c r="B48">
        <v>9</v>
      </c>
      <c r="C48" t="s">
        <v>621</v>
      </c>
      <c r="D48" t="s">
        <v>614</v>
      </c>
      <c r="E48" t="s">
        <v>1086</v>
      </c>
      <c r="F48" t="s">
        <v>38</v>
      </c>
      <c r="G48" t="s">
        <v>1086</v>
      </c>
      <c r="I48" t="str">
        <f t="shared" si="0"/>
        <v/>
      </c>
    </row>
    <row r="49" spans="1:9" x14ac:dyDescent="0.2">
      <c r="A49">
        <v>2303428</v>
      </c>
      <c r="B49">
        <v>9</v>
      </c>
      <c r="C49" t="s">
        <v>621</v>
      </c>
      <c r="D49" t="s">
        <v>622</v>
      </c>
      <c r="E49" t="s">
        <v>146</v>
      </c>
      <c r="F49" t="s">
        <v>44</v>
      </c>
      <c r="G49" t="s">
        <v>146</v>
      </c>
      <c r="I49" t="str">
        <f t="shared" si="0"/>
        <v>TP</v>
      </c>
    </row>
    <row r="50" spans="1:9" x14ac:dyDescent="0.2">
      <c r="A50">
        <v>2303428</v>
      </c>
      <c r="B50">
        <v>9</v>
      </c>
      <c r="C50" t="s">
        <v>621</v>
      </c>
      <c r="D50" t="s">
        <v>78</v>
      </c>
      <c r="E50" t="s">
        <v>146</v>
      </c>
      <c r="F50" t="s">
        <v>3</v>
      </c>
      <c r="G50" t="s">
        <v>146</v>
      </c>
      <c r="I50" t="str">
        <f t="shared" si="0"/>
        <v>TP</v>
      </c>
    </row>
    <row r="51" spans="1:9" x14ac:dyDescent="0.2">
      <c r="A51">
        <v>2303428</v>
      </c>
      <c r="B51">
        <v>9</v>
      </c>
      <c r="C51" t="s">
        <v>621</v>
      </c>
      <c r="D51" t="s">
        <v>623</v>
      </c>
      <c r="E51" t="s">
        <v>1086</v>
      </c>
      <c r="F51" t="s">
        <v>44</v>
      </c>
      <c r="G51" t="s">
        <v>1086</v>
      </c>
      <c r="I51" t="str">
        <f t="shared" si="0"/>
        <v/>
      </c>
    </row>
    <row r="52" spans="1:9" x14ac:dyDescent="0.2">
      <c r="A52">
        <v>2303428</v>
      </c>
      <c r="B52">
        <v>9</v>
      </c>
      <c r="C52" t="s">
        <v>621</v>
      </c>
      <c r="D52" t="s">
        <v>624</v>
      </c>
      <c r="E52" t="s">
        <v>146</v>
      </c>
      <c r="F52" t="s">
        <v>44</v>
      </c>
      <c r="G52" t="s">
        <v>146</v>
      </c>
      <c r="I52" t="str">
        <f t="shared" si="0"/>
        <v>TP</v>
      </c>
    </row>
    <row r="53" spans="1:9" x14ac:dyDescent="0.2">
      <c r="A53">
        <v>2303428</v>
      </c>
      <c r="B53">
        <v>10</v>
      </c>
      <c r="C53" t="s">
        <v>625</v>
      </c>
      <c r="D53" t="s">
        <v>614</v>
      </c>
      <c r="E53" t="s">
        <v>1086</v>
      </c>
      <c r="F53" t="s">
        <v>38</v>
      </c>
      <c r="G53" t="s">
        <v>1086</v>
      </c>
      <c r="I53" t="str">
        <f t="shared" si="0"/>
        <v/>
      </c>
    </row>
    <row r="54" spans="1:9" x14ac:dyDescent="0.2">
      <c r="A54">
        <v>2303428</v>
      </c>
      <c r="B54">
        <v>10</v>
      </c>
      <c r="C54" t="s">
        <v>625</v>
      </c>
      <c r="D54" t="s">
        <v>614</v>
      </c>
      <c r="E54" t="s">
        <v>1086</v>
      </c>
      <c r="F54" t="s">
        <v>38</v>
      </c>
      <c r="G54" t="s">
        <v>1086</v>
      </c>
      <c r="I54" t="str">
        <f t="shared" si="0"/>
        <v/>
      </c>
    </row>
    <row r="55" spans="1:9" x14ac:dyDescent="0.2">
      <c r="A55">
        <v>2303428</v>
      </c>
      <c r="B55">
        <v>10</v>
      </c>
      <c r="C55" t="s">
        <v>625</v>
      </c>
      <c r="D55" t="s">
        <v>491</v>
      </c>
      <c r="E55" t="s">
        <v>146</v>
      </c>
      <c r="F55" t="s">
        <v>61</v>
      </c>
      <c r="G55" t="s">
        <v>146</v>
      </c>
      <c r="I55" t="str">
        <f t="shared" si="0"/>
        <v>TP</v>
      </c>
    </row>
    <row r="56" spans="1:9" x14ac:dyDescent="0.2">
      <c r="A56">
        <v>2303428</v>
      </c>
      <c r="B56">
        <v>10</v>
      </c>
      <c r="C56" t="s">
        <v>625</v>
      </c>
      <c r="D56" t="s">
        <v>626</v>
      </c>
      <c r="E56" t="s">
        <v>1086</v>
      </c>
      <c r="F56" t="s">
        <v>44</v>
      </c>
      <c r="G56" t="s">
        <v>1086</v>
      </c>
      <c r="I56" t="str">
        <f t="shared" si="0"/>
        <v/>
      </c>
    </row>
    <row r="57" spans="1:9" x14ac:dyDescent="0.2">
      <c r="A57">
        <v>2303428</v>
      </c>
      <c r="B57">
        <v>10</v>
      </c>
      <c r="C57" t="s">
        <v>625</v>
      </c>
      <c r="D57" t="s">
        <v>623</v>
      </c>
      <c r="E57" t="s">
        <v>1086</v>
      </c>
      <c r="F57" t="s">
        <v>44</v>
      </c>
      <c r="G57" t="s">
        <v>1086</v>
      </c>
      <c r="I57" t="str">
        <f t="shared" si="0"/>
        <v/>
      </c>
    </row>
    <row r="58" spans="1:9" x14ac:dyDescent="0.2">
      <c r="A58">
        <v>2303428</v>
      </c>
      <c r="B58">
        <v>11</v>
      </c>
      <c r="C58" t="s">
        <v>627</v>
      </c>
      <c r="D58" t="s">
        <v>628</v>
      </c>
      <c r="E58" t="s">
        <v>146</v>
      </c>
      <c r="F58" t="s">
        <v>3</v>
      </c>
      <c r="G58" t="s">
        <v>146</v>
      </c>
      <c r="I58" t="str">
        <f t="shared" si="0"/>
        <v>TP</v>
      </c>
    </row>
    <row r="59" spans="1:9" x14ac:dyDescent="0.2">
      <c r="A59">
        <v>2303428</v>
      </c>
      <c r="B59">
        <v>11</v>
      </c>
      <c r="C59" t="s">
        <v>627</v>
      </c>
      <c r="D59" t="s">
        <v>78</v>
      </c>
      <c r="E59" t="s">
        <v>146</v>
      </c>
      <c r="F59" t="s">
        <v>3</v>
      </c>
      <c r="G59" t="s">
        <v>146</v>
      </c>
      <c r="I59" t="str">
        <f t="shared" si="0"/>
        <v>TP</v>
      </c>
    </row>
    <row r="60" spans="1:9" x14ac:dyDescent="0.2">
      <c r="A60">
        <v>2664192</v>
      </c>
      <c r="B60">
        <v>0</v>
      </c>
      <c r="C60" t="s">
        <v>629</v>
      </c>
      <c r="D60" t="s">
        <v>630</v>
      </c>
      <c r="E60" t="s">
        <v>146</v>
      </c>
      <c r="F60" t="s">
        <v>44</v>
      </c>
      <c r="G60" t="s">
        <v>146</v>
      </c>
      <c r="I60" t="str">
        <f t="shared" si="0"/>
        <v>TP</v>
      </c>
    </row>
    <row r="61" spans="1:9" x14ac:dyDescent="0.2">
      <c r="A61">
        <v>2664192</v>
      </c>
      <c r="B61">
        <v>0</v>
      </c>
      <c r="C61" t="s">
        <v>629</v>
      </c>
      <c r="D61" t="s">
        <v>631</v>
      </c>
      <c r="E61" t="s">
        <v>146</v>
      </c>
      <c r="F61" t="s">
        <v>44</v>
      </c>
      <c r="G61" t="s">
        <v>146</v>
      </c>
      <c r="I61" t="str">
        <f t="shared" si="0"/>
        <v>TP</v>
      </c>
    </row>
    <row r="62" spans="1:9" x14ac:dyDescent="0.2">
      <c r="A62">
        <v>2664192</v>
      </c>
      <c r="B62">
        <v>0</v>
      </c>
      <c r="C62" t="s">
        <v>629</v>
      </c>
      <c r="D62" t="s">
        <v>632</v>
      </c>
      <c r="E62" t="s">
        <v>146</v>
      </c>
      <c r="F62" t="s">
        <v>44</v>
      </c>
      <c r="G62" t="s">
        <v>146</v>
      </c>
      <c r="I62" t="str">
        <f t="shared" si="0"/>
        <v>TP</v>
      </c>
    </row>
    <row r="63" spans="1:9" x14ac:dyDescent="0.2">
      <c r="A63">
        <v>2664192</v>
      </c>
      <c r="B63">
        <v>1</v>
      </c>
      <c r="C63" t="s">
        <v>633</v>
      </c>
      <c r="D63" t="s">
        <v>634</v>
      </c>
      <c r="E63" t="s">
        <v>146</v>
      </c>
      <c r="F63" t="s">
        <v>44</v>
      </c>
      <c r="G63" t="s">
        <v>146</v>
      </c>
      <c r="I63" t="str">
        <f t="shared" si="0"/>
        <v>TP</v>
      </c>
    </row>
    <row r="64" spans="1:9" x14ac:dyDescent="0.2">
      <c r="A64">
        <v>2664192</v>
      </c>
      <c r="B64">
        <v>1</v>
      </c>
      <c r="C64" t="s">
        <v>633</v>
      </c>
      <c r="D64" t="s">
        <v>635</v>
      </c>
      <c r="E64" t="s">
        <v>146</v>
      </c>
      <c r="F64" t="s">
        <v>44</v>
      </c>
      <c r="G64" t="s">
        <v>146</v>
      </c>
      <c r="I64" t="str">
        <f t="shared" si="0"/>
        <v>TP</v>
      </c>
    </row>
    <row r="65" spans="1:9" x14ac:dyDescent="0.2">
      <c r="A65">
        <v>2664192</v>
      </c>
      <c r="B65">
        <v>1</v>
      </c>
      <c r="C65" t="s">
        <v>633</v>
      </c>
      <c r="D65" t="s">
        <v>636</v>
      </c>
      <c r="E65" t="s">
        <v>146</v>
      </c>
      <c r="F65" t="s">
        <v>44</v>
      </c>
      <c r="G65" t="s">
        <v>146</v>
      </c>
      <c r="I65" t="str">
        <f t="shared" si="0"/>
        <v>TP</v>
      </c>
    </row>
    <row r="66" spans="1:9" x14ac:dyDescent="0.2">
      <c r="A66">
        <v>2664192</v>
      </c>
      <c r="B66">
        <v>1</v>
      </c>
      <c r="C66" t="s">
        <v>633</v>
      </c>
      <c r="D66" t="s">
        <v>637</v>
      </c>
      <c r="E66" t="s">
        <v>146</v>
      </c>
      <c r="F66" t="s">
        <v>44</v>
      </c>
      <c r="G66" t="s">
        <v>146</v>
      </c>
      <c r="I66" t="str">
        <f t="shared" si="0"/>
        <v>TP</v>
      </c>
    </row>
    <row r="67" spans="1:9" x14ac:dyDescent="0.2">
      <c r="A67">
        <v>2664192</v>
      </c>
      <c r="B67">
        <v>1</v>
      </c>
      <c r="C67" t="s">
        <v>633</v>
      </c>
      <c r="D67" t="s">
        <v>638</v>
      </c>
      <c r="E67" t="s">
        <v>146</v>
      </c>
      <c r="F67" t="s">
        <v>44</v>
      </c>
      <c r="G67" t="s">
        <v>146</v>
      </c>
      <c r="I67" t="str">
        <f t="shared" ref="I67:I129" si="1">IF(OR(E67="FP",G67="FP"),"FP",IF(AND(E67="TP",E67="TP"),"TP",""))</f>
        <v>TP</v>
      </c>
    </row>
    <row r="68" spans="1:9" x14ac:dyDescent="0.2">
      <c r="A68">
        <v>2664192</v>
      </c>
      <c r="B68">
        <v>2</v>
      </c>
      <c r="C68" t="s">
        <v>639</v>
      </c>
      <c r="D68" t="s">
        <v>534</v>
      </c>
      <c r="E68" t="s">
        <v>562</v>
      </c>
      <c r="F68" t="s">
        <v>44</v>
      </c>
      <c r="G68" t="s">
        <v>146</v>
      </c>
      <c r="H68" t="s">
        <v>1089</v>
      </c>
      <c r="I68" t="str">
        <f t="shared" si="1"/>
        <v/>
      </c>
    </row>
    <row r="69" spans="1:9" x14ac:dyDescent="0.2">
      <c r="A69">
        <v>2664192</v>
      </c>
      <c r="B69">
        <v>2</v>
      </c>
      <c r="C69" t="s">
        <v>639</v>
      </c>
      <c r="D69" t="s">
        <v>640</v>
      </c>
      <c r="E69" t="s">
        <v>146</v>
      </c>
      <c r="F69" t="s">
        <v>44</v>
      </c>
      <c r="G69" t="s">
        <v>146</v>
      </c>
      <c r="I69" t="str">
        <f t="shared" si="1"/>
        <v>TP</v>
      </c>
    </row>
    <row r="70" spans="1:9" x14ac:dyDescent="0.2">
      <c r="A70">
        <v>2664192</v>
      </c>
      <c r="B70">
        <v>2</v>
      </c>
      <c r="C70" t="s">
        <v>639</v>
      </c>
      <c r="D70" t="s">
        <v>632</v>
      </c>
      <c r="E70" t="s">
        <v>146</v>
      </c>
      <c r="F70" t="s">
        <v>44</v>
      </c>
      <c r="G70" t="s">
        <v>146</v>
      </c>
      <c r="I70" t="str">
        <f t="shared" si="1"/>
        <v>TP</v>
      </c>
    </row>
    <row r="71" spans="1:9" x14ac:dyDescent="0.2">
      <c r="A71">
        <v>2664192</v>
      </c>
      <c r="B71">
        <v>3</v>
      </c>
      <c r="C71" t="s">
        <v>641</v>
      </c>
      <c r="D71" t="s">
        <v>632</v>
      </c>
      <c r="E71" t="s">
        <v>146</v>
      </c>
      <c r="F71" t="s">
        <v>44</v>
      </c>
      <c r="G71" t="s">
        <v>146</v>
      </c>
      <c r="I71" t="str">
        <f t="shared" si="1"/>
        <v>TP</v>
      </c>
    </row>
    <row r="72" spans="1:9" x14ac:dyDescent="0.2">
      <c r="A72">
        <v>2664192</v>
      </c>
      <c r="B72">
        <v>3</v>
      </c>
      <c r="C72" t="s">
        <v>641</v>
      </c>
      <c r="D72" t="s">
        <v>642</v>
      </c>
      <c r="E72" t="s">
        <v>146</v>
      </c>
      <c r="F72" t="s">
        <v>44</v>
      </c>
      <c r="G72" t="s">
        <v>146</v>
      </c>
      <c r="I72" t="str">
        <f t="shared" si="1"/>
        <v>TP</v>
      </c>
    </row>
    <row r="73" spans="1:9" x14ac:dyDescent="0.2">
      <c r="A73">
        <v>2664192</v>
      </c>
      <c r="B73">
        <v>3</v>
      </c>
      <c r="C73" t="s">
        <v>641</v>
      </c>
      <c r="D73" t="s">
        <v>643</v>
      </c>
      <c r="E73" t="s">
        <v>146</v>
      </c>
      <c r="F73" t="s">
        <v>44</v>
      </c>
      <c r="G73" t="s">
        <v>146</v>
      </c>
      <c r="I73" t="str">
        <f t="shared" si="1"/>
        <v>TP</v>
      </c>
    </row>
    <row r="74" spans="1:9" x14ac:dyDescent="0.2">
      <c r="A74">
        <v>2664192</v>
      </c>
      <c r="B74">
        <v>3</v>
      </c>
      <c r="C74" t="s">
        <v>641</v>
      </c>
      <c r="D74" t="s">
        <v>644</v>
      </c>
      <c r="E74" t="s">
        <v>146</v>
      </c>
      <c r="F74" t="s">
        <v>44</v>
      </c>
      <c r="G74" t="s">
        <v>146</v>
      </c>
      <c r="I74" t="str">
        <f t="shared" si="1"/>
        <v>TP</v>
      </c>
    </row>
    <row r="75" spans="1:9" x14ac:dyDescent="0.2">
      <c r="A75">
        <v>2664192</v>
      </c>
      <c r="B75">
        <v>3</v>
      </c>
      <c r="C75" t="s">
        <v>641</v>
      </c>
      <c r="D75" t="s">
        <v>645</v>
      </c>
      <c r="E75" t="s">
        <v>146</v>
      </c>
      <c r="F75" t="s">
        <v>44</v>
      </c>
      <c r="G75" t="s">
        <v>146</v>
      </c>
      <c r="I75" t="str">
        <f t="shared" si="1"/>
        <v>TP</v>
      </c>
    </row>
    <row r="76" spans="1:9" x14ac:dyDescent="0.2">
      <c r="A76">
        <v>2664192</v>
      </c>
      <c r="B76">
        <v>3</v>
      </c>
      <c r="C76" t="s">
        <v>641</v>
      </c>
      <c r="D76" t="s">
        <v>646</v>
      </c>
      <c r="E76" t="s">
        <v>146</v>
      </c>
      <c r="F76" t="s">
        <v>44</v>
      </c>
      <c r="G76" t="s">
        <v>146</v>
      </c>
      <c r="I76" t="str">
        <f t="shared" si="1"/>
        <v>TP</v>
      </c>
    </row>
    <row r="77" spans="1:9" x14ac:dyDescent="0.2">
      <c r="A77">
        <v>2664192</v>
      </c>
      <c r="B77">
        <v>3</v>
      </c>
      <c r="C77" t="s">
        <v>641</v>
      </c>
      <c r="D77" t="s">
        <v>647</v>
      </c>
      <c r="E77" t="s">
        <v>562</v>
      </c>
      <c r="F77" t="s">
        <v>44</v>
      </c>
      <c r="G77" t="s">
        <v>146</v>
      </c>
      <c r="I77" t="str">
        <f t="shared" si="1"/>
        <v/>
      </c>
    </row>
    <row r="78" spans="1:9" x14ac:dyDescent="0.2">
      <c r="A78">
        <v>2664192</v>
      </c>
      <c r="B78">
        <v>3</v>
      </c>
      <c r="C78" t="s">
        <v>641</v>
      </c>
      <c r="D78" t="s">
        <v>638</v>
      </c>
      <c r="E78" t="s">
        <v>146</v>
      </c>
      <c r="F78" t="s">
        <v>44</v>
      </c>
      <c r="G78" t="s">
        <v>146</v>
      </c>
      <c r="I78" t="str">
        <f t="shared" si="1"/>
        <v>TP</v>
      </c>
    </row>
    <row r="79" spans="1:9" x14ac:dyDescent="0.2">
      <c r="A79">
        <v>2664192</v>
      </c>
      <c r="B79">
        <v>4</v>
      </c>
      <c r="C79" t="s">
        <v>648</v>
      </c>
      <c r="I79" t="str">
        <f t="shared" si="1"/>
        <v/>
      </c>
    </row>
    <row r="80" spans="1:9" x14ac:dyDescent="0.2">
      <c r="A80">
        <v>2664192</v>
      </c>
      <c r="B80">
        <v>5</v>
      </c>
      <c r="C80" t="s">
        <v>649</v>
      </c>
      <c r="D80" t="s">
        <v>632</v>
      </c>
      <c r="E80" t="s">
        <v>146</v>
      </c>
      <c r="F80" t="s">
        <v>44</v>
      </c>
      <c r="G80" t="s">
        <v>146</v>
      </c>
      <c r="I80" t="str">
        <f t="shared" si="1"/>
        <v>TP</v>
      </c>
    </row>
    <row r="81" spans="1:9" x14ac:dyDescent="0.2">
      <c r="A81">
        <v>2664192</v>
      </c>
      <c r="B81">
        <v>5</v>
      </c>
      <c r="C81" t="s">
        <v>649</v>
      </c>
      <c r="D81" t="s">
        <v>642</v>
      </c>
      <c r="E81" t="s">
        <v>146</v>
      </c>
      <c r="F81" t="s">
        <v>44</v>
      </c>
      <c r="G81" t="s">
        <v>146</v>
      </c>
      <c r="I81" t="str">
        <f t="shared" si="1"/>
        <v>TP</v>
      </c>
    </row>
    <row r="82" spans="1:9" x14ac:dyDescent="0.2">
      <c r="A82">
        <v>2664192</v>
      </c>
      <c r="B82">
        <v>5</v>
      </c>
      <c r="C82" t="s">
        <v>649</v>
      </c>
      <c r="D82" t="s">
        <v>643</v>
      </c>
      <c r="E82" t="s">
        <v>146</v>
      </c>
      <c r="F82" t="s">
        <v>44</v>
      </c>
      <c r="G82" t="s">
        <v>146</v>
      </c>
      <c r="I82" t="str">
        <f t="shared" si="1"/>
        <v>TP</v>
      </c>
    </row>
    <row r="83" spans="1:9" x14ac:dyDescent="0.2">
      <c r="A83">
        <v>2664192</v>
      </c>
      <c r="B83">
        <v>5</v>
      </c>
      <c r="C83" t="s">
        <v>649</v>
      </c>
      <c r="D83" t="s">
        <v>650</v>
      </c>
      <c r="E83" t="s">
        <v>146</v>
      </c>
      <c r="F83" t="s">
        <v>44</v>
      </c>
      <c r="G83" t="s">
        <v>146</v>
      </c>
      <c r="I83" t="str">
        <f t="shared" si="1"/>
        <v>TP</v>
      </c>
    </row>
    <row r="84" spans="1:9" x14ac:dyDescent="0.2">
      <c r="A84">
        <v>2664192</v>
      </c>
      <c r="B84">
        <v>5</v>
      </c>
      <c r="C84" t="s">
        <v>649</v>
      </c>
      <c r="D84" t="s">
        <v>651</v>
      </c>
      <c r="E84" t="s">
        <v>146</v>
      </c>
      <c r="F84" t="s">
        <v>44</v>
      </c>
      <c r="G84" t="s">
        <v>146</v>
      </c>
      <c r="I84" t="str">
        <f t="shared" si="1"/>
        <v>TP</v>
      </c>
    </row>
    <row r="85" spans="1:9" x14ac:dyDescent="0.2">
      <c r="A85">
        <v>2960671</v>
      </c>
      <c r="B85">
        <v>0</v>
      </c>
      <c r="C85" t="s">
        <v>652</v>
      </c>
      <c r="D85" t="s">
        <v>653</v>
      </c>
      <c r="E85" t="s">
        <v>146</v>
      </c>
      <c r="F85" t="s">
        <v>3</v>
      </c>
      <c r="G85" t="s">
        <v>146</v>
      </c>
      <c r="I85" t="str">
        <f t="shared" si="1"/>
        <v>TP</v>
      </c>
    </row>
    <row r="86" spans="1:9" x14ac:dyDescent="0.2">
      <c r="A86">
        <v>2960671</v>
      </c>
      <c r="B86">
        <v>0</v>
      </c>
      <c r="C86" t="s">
        <v>652</v>
      </c>
      <c r="D86" t="s">
        <v>654</v>
      </c>
      <c r="E86" t="s">
        <v>146</v>
      </c>
      <c r="F86" t="s">
        <v>3</v>
      </c>
      <c r="G86" t="s">
        <v>146</v>
      </c>
      <c r="I86" t="str">
        <f t="shared" si="1"/>
        <v>TP</v>
      </c>
    </row>
    <row r="87" spans="1:9" x14ac:dyDescent="0.2">
      <c r="A87">
        <v>2960671</v>
      </c>
      <c r="B87">
        <v>1</v>
      </c>
      <c r="C87" t="s">
        <v>655</v>
      </c>
      <c r="D87" t="s">
        <v>653</v>
      </c>
      <c r="E87" t="s">
        <v>146</v>
      </c>
      <c r="F87" t="s">
        <v>3</v>
      </c>
      <c r="G87" t="s">
        <v>146</v>
      </c>
      <c r="I87" t="str">
        <f t="shared" si="1"/>
        <v>TP</v>
      </c>
    </row>
    <row r="88" spans="1:9" x14ac:dyDescent="0.2">
      <c r="A88">
        <v>2960671</v>
      </c>
      <c r="B88">
        <v>1</v>
      </c>
      <c r="C88" t="s">
        <v>655</v>
      </c>
      <c r="D88" t="s">
        <v>654</v>
      </c>
      <c r="E88" t="s">
        <v>146</v>
      </c>
      <c r="F88" t="s">
        <v>3</v>
      </c>
      <c r="G88" t="s">
        <v>146</v>
      </c>
      <c r="I88" t="str">
        <f t="shared" si="1"/>
        <v>TP</v>
      </c>
    </row>
    <row r="89" spans="1:9" x14ac:dyDescent="0.2">
      <c r="A89">
        <v>2960671</v>
      </c>
      <c r="B89">
        <v>2</v>
      </c>
      <c r="C89" t="s">
        <v>656</v>
      </c>
      <c r="D89" t="s">
        <v>48</v>
      </c>
      <c r="E89" t="s">
        <v>1086</v>
      </c>
      <c r="F89" t="s">
        <v>38</v>
      </c>
      <c r="G89" t="s">
        <v>1086</v>
      </c>
      <c r="I89" t="str">
        <f t="shared" si="1"/>
        <v/>
      </c>
    </row>
    <row r="90" spans="1:9" x14ac:dyDescent="0.2">
      <c r="A90">
        <v>2960671</v>
      </c>
      <c r="B90">
        <v>3</v>
      </c>
      <c r="C90" t="s">
        <v>657</v>
      </c>
      <c r="D90" t="s">
        <v>234</v>
      </c>
      <c r="E90" t="s">
        <v>146</v>
      </c>
      <c r="F90" t="s">
        <v>3</v>
      </c>
      <c r="G90" t="s">
        <v>146</v>
      </c>
      <c r="I90" t="str">
        <f t="shared" si="1"/>
        <v>TP</v>
      </c>
    </row>
    <row r="91" spans="1:9" x14ac:dyDescent="0.2">
      <c r="A91">
        <v>2960671</v>
      </c>
      <c r="B91">
        <v>3</v>
      </c>
      <c r="C91" t="s">
        <v>657</v>
      </c>
      <c r="D91" t="s">
        <v>658</v>
      </c>
      <c r="E91" t="s">
        <v>146</v>
      </c>
      <c r="F91" t="s">
        <v>3</v>
      </c>
      <c r="G91" t="s">
        <v>146</v>
      </c>
      <c r="I91" t="str">
        <f t="shared" si="1"/>
        <v>TP</v>
      </c>
    </row>
    <row r="92" spans="1:9" x14ac:dyDescent="0.2">
      <c r="A92">
        <v>2960671</v>
      </c>
      <c r="B92">
        <v>3</v>
      </c>
      <c r="C92" t="s">
        <v>657</v>
      </c>
      <c r="D92" t="s">
        <v>247</v>
      </c>
      <c r="E92" t="s">
        <v>146</v>
      </c>
      <c r="F92" t="s">
        <v>3</v>
      </c>
      <c r="G92" t="s">
        <v>146</v>
      </c>
      <c r="I92" t="str">
        <f t="shared" si="1"/>
        <v>TP</v>
      </c>
    </row>
    <row r="93" spans="1:9" x14ac:dyDescent="0.2">
      <c r="A93">
        <v>2960671</v>
      </c>
      <c r="B93">
        <v>3</v>
      </c>
      <c r="C93" t="s">
        <v>657</v>
      </c>
      <c r="D93" t="s">
        <v>362</v>
      </c>
      <c r="E93" t="s">
        <v>146</v>
      </c>
      <c r="F93" t="s">
        <v>44</v>
      </c>
      <c r="G93" t="s">
        <v>146</v>
      </c>
      <c r="I93" t="str">
        <f t="shared" si="1"/>
        <v>TP</v>
      </c>
    </row>
    <row r="94" spans="1:9" x14ac:dyDescent="0.2">
      <c r="A94">
        <v>2960671</v>
      </c>
      <c r="B94">
        <v>3</v>
      </c>
      <c r="C94" t="s">
        <v>657</v>
      </c>
      <c r="D94" t="s">
        <v>659</v>
      </c>
      <c r="E94" t="s">
        <v>146</v>
      </c>
      <c r="F94" t="s">
        <v>44</v>
      </c>
      <c r="G94" t="s">
        <v>146</v>
      </c>
      <c r="I94" t="str">
        <f t="shared" si="1"/>
        <v>TP</v>
      </c>
    </row>
    <row r="95" spans="1:9" x14ac:dyDescent="0.2">
      <c r="A95">
        <v>2960671</v>
      </c>
      <c r="B95">
        <v>4</v>
      </c>
      <c r="C95" t="s">
        <v>660</v>
      </c>
      <c r="I95" t="str">
        <f t="shared" si="1"/>
        <v/>
      </c>
    </row>
    <row r="96" spans="1:9" x14ac:dyDescent="0.2">
      <c r="A96">
        <v>2960671</v>
      </c>
      <c r="B96">
        <v>5</v>
      </c>
      <c r="C96" t="s">
        <v>661</v>
      </c>
      <c r="D96" t="s">
        <v>662</v>
      </c>
      <c r="E96" t="s">
        <v>146</v>
      </c>
      <c r="F96" t="s">
        <v>3</v>
      </c>
      <c r="G96" t="s">
        <v>146</v>
      </c>
      <c r="I96" t="str">
        <f t="shared" si="1"/>
        <v>TP</v>
      </c>
    </row>
    <row r="97" spans="1:10" x14ac:dyDescent="0.2">
      <c r="A97">
        <v>2960671</v>
      </c>
      <c r="B97">
        <v>5</v>
      </c>
      <c r="C97" t="s">
        <v>661</v>
      </c>
      <c r="D97" t="s">
        <v>663</v>
      </c>
      <c r="E97" t="s">
        <v>146</v>
      </c>
      <c r="F97" t="s">
        <v>3</v>
      </c>
      <c r="G97" t="s">
        <v>146</v>
      </c>
      <c r="I97" t="str">
        <f t="shared" si="1"/>
        <v>TP</v>
      </c>
    </row>
    <row r="98" spans="1:10" x14ac:dyDescent="0.2">
      <c r="A98">
        <v>2960671</v>
      </c>
      <c r="B98">
        <v>5</v>
      </c>
      <c r="C98" t="s">
        <v>661</v>
      </c>
      <c r="D98" t="s">
        <v>664</v>
      </c>
      <c r="E98" t="s">
        <v>146</v>
      </c>
      <c r="F98" t="s">
        <v>61</v>
      </c>
      <c r="G98" t="s">
        <v>146</v>
      </c>
      <c r="I98" t="str">
        <f t="shared" si="1"/>
        <v>TP</v>
      </c>
    </row>
    <row r="99" spans="1:10" x14ac:dyDescent="0.2">
      <c r="A99">
        <v>2960671</v>
      </c>
      <c r="B99">
        <v>5</v>
      </c>
      <c r="C99" t="s">
        <v>661</v>
      </c>
      <c r="D99" t="s">
        <v>48</v>
      </c>
      <c r="E99" t="s">
        <v>1086</v>
      </c>
      <c r="F99" t="s">
        <v>38</v>
      </c>
      <c r="G99" t="s">
        <v>1086</v>
      </c>
      <c r="I99" t="str">
        <f t="shared" si="1"/>
        <v/>
      </c>
    </row>
    <row r="100" spans="1:10" x14ac:dyDescent="0.2">
      <c r="A100">
        <v>2960671</v>
      </c>
      <c r="B100">
        <v>6</v>
      </c>
      <c r="C100" t="s">
        <v>665</v>
      </c>
      <c r="D100" t="s">
        <v>48</v>
      </c>
      <c r="E100" t="s">
        <v>1086</v>
      </c>
      <c r="F100" t="s">
        <v>38</v>
      </c>
      <c r="G100" t="s">
        <v>1086</v>
      </c>
      <c r="I100" t="str">
        <f t="shared" si="1"/>
        <v/>
      </c>
    </row>
    <row r="101" spans="1:10" x14ac:dyDescent="0.2">
      <c r="A101">
        <v>2960671</v>
      </c>
      <c r="B101">
        <v>6</v>
      </c>
      <c r="C101" t="s">
        <v>665</v>
      </c>
      <c r="D101" t="s">
        <v>666</v>
      </c>
      <c r="E101" t="s">
        <v>146</v>
      </c>
      <c r="F101" t="s">
        <v>3</v>
      </c>
      <c r="G101" t="s">
        <v>146</v>
      </c>
      <c r="I101" t="str">
        <f t="shared" si="1"/>
        <v>TP</v>
      </c>
    </row>
    <row r="102" spans="1:10" x14ac:dyDescent="0.2">
      <c r="A102">
        <v>2960671</v>
      </c>
      <c r="B102">
        <v>7</v>
      </c>
      <c r="C102" t="s">
        <v>667</v>
      </c>
      <c r="D102" t="s">
        <v>668</v>
      </c>
      <c r="E102" t="s">
        <v>1086</v>
      </c>
      <c r="F102" t="s">
        <v>44</v>
      </c>
      <c r="G102" t="s">
        <v>1086</v>
      </c>
      <c r="I102" t="str">
        <f t="shared" si="1"/>
        <v/>
      </c>
    </row>
    <row r="103" spans="1:10" x14ac:dyDescent="0.2">
      <c r="A103">
        <v>2960671</v>
      </c>
      <c r="B103">
        <v>8</v>
      </c>
      <c r="C103" t="s">
        <v>669</v>
      </c>
      <c r="D103" t="s">
        <v>664</v>
      </c>
      <c r="E103" t="s">
        <v>146</v>
      </c>
      <c r="F103" t="s">
        <v>61</v>
      </c>
      <c r="G103" t="s">
        <v>146</v>
      </c>
      <c r="I103" t="str">
        <f t="shared" si="1"/>
        <v>TP</v>
      </c>
    </row>
    <row r="104" spans="1:10" x14ac:dyDescent="0.2">
      <c r="A104">
        <v>2960671</v>
      </c>
      <c r="B104">
        <v>8</v>
      </c>
      <c r="C104" t="s">
        <v>669</v>
      </c>
      <c r="D104" t="s">
        <v>670</v>
      </c>
      <c r="E104" t="s">
        <v>146</v>
      </c>
      <c r="F104" t="s">
        <v>61</v>
      </c>
      <c r="G104" t="s">
        <v>146</v>
      </c>
      <c r="I104" t="str">
        <f t="shared" si="1"/>
        <v>TP</v>
      </c>
    </row>
    <row r="105" spans="1:10" x14ac:dyDescent="0.2">
      <c r="A105">
        <v>2960671</v>
      </c>
      <c r="B105">
        <v>8</v>
      </c>
      <c r="C105" t="s">
        <v>669</v>
      </c>
      <c r="D105" t="s">
        <v>671</v>
      </c>
      <c r="E105" t="s">
        <v>1086</v>
      </c>
      <c r="F105" t="s">
        <v>44</v>
      </c>
      <c r="G105" t="s">
        <v>1086</v>
      </c>
      <c r="I105" t="str">
        <f t="shared" si="1"/>
        <v/>
      </c>
    </row>
    <row r="106" spans="1:10" x14ac:dyDescent="0.2">
      <c r="A106">
        <v>2960671</v>
      </c>
      <c r="B106">
        <v>9</v>
      </c>
      <c r="C106" t="s">
        <v>672</v>
      </c>
      <c r="I106" t="str">
        <f t="shared" si="1"/>
        <v/>
      </c>
    </row>
    <row r="107" spans="1:10" x14ac:dyDescent="0.2">
      <c r="A107">
        <v>2960671</v>
      </c>
      <c r="B107">
        <v>10</v>
      </c>
      <c r="C107" t="s">
        <v>673</v>
      </c>
      <c r="D107" t="s">
        <v>674</v>
      </c>
      <c r="E107" t="s">
        <v>146</v>
      </c>
      <c r="F107" t="s">
        <v>3</v>
      </c>
      <c r="G107" t="s">
        <v>146</v>
      </c>
      <c r="I107" t="str">
        <f t="shared" si="1"/>
        <v>TP</v>
      </c>
    </row>
    <row r="108" spans="1:10" x14ac:dyDescent="0.2">
      <c r="A108">
        <v>2960671</v>
      </c>
      <c r="B108">
        <v>10</v>
      </c>
      <c r="C108" t="s">
        <v>673</v>
      </c>
      <c r="D108" t="s">
        <v>675</v>
      </c>
      <c r="E108" t="s">
        <v>146</v>
      </c>
      <c r="F108" t="s">
        <v>3</v>
      </c>
      <c r="G108" t="s">
        <v>146</v>
      </c>
      <c r="I108" t="str">
        <f t="shared" si="1"/>
        <v>TP</v>
      </c>
    </row>
    <row r="109" spans="1:10" x14ac:dyDescent="0.2">
      <c r="A109">
        <v>2960671</v>
      </c>
      <c r="B109">
        <v>11</v>
      </c>
      <c r="C109" t="s">
        <v>676</v>
      </c>
      <c r="H109" t="s">
        <v>1090</v>
      </c>
      <c r="I109" t="str">
        <f t="shared" si="1"/>
        <v/>
      </c>
    </row>
    <row r="110" spans="1:10" x14ac:dyDescent="0.2">
      <c r="A110">
        <v>3233598</v>
      </c>
      <c r="B110">
        <v>0</v>
      </c>
      <c r="C110" t="s">
        <v>677</v>
      </c>
      <c r="D110" t="s">
        <v>678</v>
      </c>
      <c r="E110" t="s">
        <v>146</v>
      </c>
      <c r="F110" t="s">
        <v>44</v>
      </c>
      <c r="G110" t="s">
        <v>146</v>
      </c>
      <c r="I110" t="str">
        <f t="shared" si="1"/>
        <v>TP</v>
      </c>
    </row>
    <row r="111" spans="1:10" x14ac:dyDescent="0.2">
      <c r="A111">
        <v>3233598</v>
      </c>
      <c r="B111">
        <v>0</v>
      </c>
      <c r="C111" t="s">
        <v>677</v>
      </c>
      <c r="D111" t="s">
        <v>48</v>
      </c>
      <c r="E111" t="s">
        <v>1086</v>
      </c>
      <c r="F111" t="s">
        <v>38</v>
      </c>
      <c r="G111" t="s">
        <v>1086</v>
      </c>
      <c r="I111" t="str">
        <f t="shared" si="1"/>
        <v/>
      </c>
    </row>
    <row r="112" spans="1:10" x14ac:dyDescent="0.2">
      <c r="A112">
        <v>3233598</v>
      </c>
      <c r="B112">
        <v>1</v>
      </c>
      <c r="C112" t="s">
        <v>679</v>
      </c>
      <c r="D112" t="s">
        <v>680</v>
      </c>
      <c r="E112" t="s">
        <v>146</v>
      </c>
      <c r="F112" t="s">
        <v>44</v>
      </c>
      <c r="G112" t="s">
        <v>146</v>
      </c>
      <c r="H112" t="s">
        <v>1091</v>
      </c>
      <c r="I112" t="str">
        <f t="shared" si="1"/>
        <v>TP</v>
      </c>
      <c r="J112" t="s">
        <v>1993</v>
      </c>
    </row>
    <row r="113" spans="1:9" x14ac:dyDescent="0.2">
      <c r="A113">
        <v>3233598</v>
      </c>
      <c r="B113">
        <v>2</v>
      </c>
      <c r="C113" t="s">
        <v>681</v>
      </c>
      <c r="D113" t="s">
        <v>682</v>
      </c>
      <c r="E113" t="s">
        <v>1086</v>
      </c>
      <c r="F113" t="s">
        <v>38</v>
      </c>
      <c r="G113" t="s">
        <v>1086</v>
      </c>
      <c r="I113" t="str">
        <f t="shared" si="1"/>
        <v/>
      </c>
    </row>
    <row r="114" spans="1:9" x14ac:dyDescent="0.2">
      <c r="A114">
        <v>3257757</v>
      </c>
      <c r="B114">
        <v>0</v>
      </c>
      <c r="C114" t="s">
        <v>683</v>
      </c>
      <c r="D114" t="s">
        <v>24</v>
      </c>
      <c r="E114" t="s">
        <v>1086</v>
      </c>
      <c r="F114" t="s">
        <v>38</v>
      </c>
      <c r="G114" t="s">
        <v>1086</v>
      </c>
      <c r="I114" t="str">
        <f t="shared" si="1"/>
        <v/>
      </c>
    </row>
    <row r="115" spans="1:9" x14ac:dyDescent="0.2">
      <c r="A115">
        <v>3257757</v>
      </c>
      <c r="B115">
        <v>1</v>
      </c>
      <c r="C115" t="s">
        <v>684</v>
      </c>
      <c r="D115" t="s">
        <v>57</v>
      </c>
      <c r="E115" t="s">
        <v>1086</v>
      </c>
      <c r="F115" t="s">
        <v>38</v>
      </c>
      <c r="G115" t="s">
        <v>1086</v>
      </c>
      <c r="I115" t="str">
        <f t="shared" si="1"/>
        <v/>
      </c>
    </row>
    <row r="116" spans="1:9" x14ac:dyDescent="0.2">
      <c r="A116">
        <v>3257757</v>
      </c>
      <c r="B116">
        <v>1</v>
      </c>
      <c r="C116" t="s">
        <v>684</v>
      </c>
      <c r="D116" t="s">
        <v>685</v>
      </c>
      <c r="F116" t="s">
        <v>3</v>
      </c>
      <c r="I116" t="str">
        <f t="shared" si="1"/>
        <v/>
      </c>
    </row>
    <row r="117" spans="1:9" x14ac:dyDescent="0.2">
      <c r="A117">
        <v>3257757</v>
      </c>
      <c r="B117">
        <v>1</v>
      </c>
      <c r="C117" t="s">
        <v>684</v>
      </c>
      <c r="D117" t="s">
        <v>686</v>
      </c>
      <c r="E117" t="s">
        <v>146</v>
      </c>
      <c r="F117" t="s">
        <v>44</v>
      </c>
      <c r="G117" t="s">
        <v>146</v>
      </c>
      <c r="I117" t="str">
        <f t="shared" si="1"/>
        <v>TP</v>
      </c>
    </row>
    <row r="118" spans="1:9" x14ac:dyDescent="0.2">
      <c r="A118">
        <v>3257757</v>
      </c>
      <c r="B118">
        <v>2</v>
      </c>
      <c r="C118" t="s">
        <v>687</v>
      </c>
      <c r="D118" t="s">
        <v>24</v>
      </c>
      <c r="E118" t="s">
        <v>1086</v>
      </c>
      <c r="F118" t="s">
        <v>38</v>
      </c>
      <c r="G118" t="s">
        <v>1086</v>
      </c>
      <c r="I118" t="str">
        <f t="shared" si="1"/>
        <v/>
      </c>
    </row>
    <row r="119" spans="1:9" x14ac:dyDescent="0.2">
      <c r="A119">
        <v>3257757</v>
      </c>
      <c r="B119">
        <v>3</v>
      </c>
      <c r="C119" t="s">
        <v>688</v>
      </c>
      <c r="D119" t="s">
        <v>24</v>
      </c>
      <c r="E119" t="s">
        <v>1086</v>
      </c>
      <c r="F119" t="s">
        <v>38</v>
      </c>
      <c r="G119" t="s">
        <v>1086</v>
      </c>
      <c r="I119" t="str">
        <f t="shared" si="1"/>
        <v/>
      </c>
    </row>
    <row r="120" spans="1:9" x14ac:dyDescent="0.2">
      <c r="A120">
        <v>3257757</v>
      </c>
      <c r="B120">
        <v>3</v>
      </c>
      <c r="C120" t="s">
        <v>688</v>
      </c>
      <c r="D120" t="s">
        <v>12</v>
      </c>
      <c r="E120" t="s">
        <v>146</v>
      </c>
      <c r="F120" t="s">
        <v>3</v>
      </c>
      <c r="G120" t="s">
        <v>146</v>
      </c>
      <c r="I120" t="str">
        <f t="shared" si="1"/>
        <v>TP</v>
      </c>
    </row>
    <row r="121" spans="1:9" x14ac:dyDescent="0.2">
      <c r="A121">
        <v>3257757</v>
      </c>
      <c r="B121">
        <v>3</v>
      </c>
      <c r="C121" t="s">
        <v>688</v>
      </c>
      <c r="D121" t="s">
        <v>689</v>
      </c>
      <c r="E121" t="s">
        <v>146</v>
      </c>
      <c r="F121" t="s">
        <v>3</v>
      </c>
      <c r="G121" t="s">
        <v>146</v>
      </c>
      <c r="I121" t="str">
        <f t="shared" si="1"/>
        <v>TP</v>
      </c>
    </row>
    <row r="122" spans="1:9" x14ac:dyDescent="0.2">
      <c r="A122">
        <v>3257757</v>
      </c>
      <c r="B122">
        <v>3</v>
      </c>
      <c r="C122" t="s">
        <v>688</v>
      </c>
      <c r="D122" t="s">
        <v>85</v>
      </c>
      <c r="E122" t="s">
        <v>146</v>
      </c>
      <c r="F122" t="s">
        <v>3</v>
      </c>
      <c r="G122" t="s">
        <v>146</v>
      </c>
      <c r="I122" t="str">
        <f t="shared" si="1"/>
        <v>TP</v>
      </c>
    </row>
    <row r="123" spans="1:9" x14ac:dyDescent="0.2">
      <c r="A123">
        <v>3257757</v>
      </c>
      <c r="B123">
        <v>3</v>
      </c>
      <c r="C123" t="s">
        <v>688</v>
      </c>
      <c r="D123" t="s">
        <v>470</v>
      </c>
      <c r="E123" t="s">
        <v>146</v>
      </c>
      <c r="F123" t="s">
        <v>3</v>
      </c>
      <c r="G123" t="s">
        <v>146</v>
      </c>
      <c r="I123" t="str">
        <f t="shared" si="1"/>
        <v>TP</v>
      </c>
    </row>
    <row r="124" spans="1:9" x14ac:dyDescent="0.2">
      <c r="A124">
        <v>3257757</v>
      </c>
      <c r="B124">
        <v>3</v>
      </c>
      <c r="C124" t="s">
        <v>688</v>
      </c>
      <c r="D124" t="s">
        <v>64</v>
      </c>
      <c r="E124" t="s">
        <v>146</v>
      </c>
      <c r="F124" t="s">
        <v>3</v>
      </c>
      <c r="G124" t="s">
        <v>146</v>
      </c>
      <c r="I124" t="str">
        <f t="shared" si="1"/>
        <v>TP</v>
      </c>
    </row>
    <row r="125" spans="1:9" x14ac:dyDescent="0.2">
      <c r="A125">
        <v>3257757</v>
      </c>
      <c r="B125">
        <v>3</v>
      </c>
      <c r="C125" t="s">
        <v>688</v>
      </c>
      <c r="D125" t="s">
        <v>690</v>
      </c>
      <c r="E125" t="s">
        <v>146</v>
      </c>
      <c r="F125" t="s">
        <v>3</v>
      </c>
      <c r="G125" t="s">
        <v>146</v>
      </c>
      <c r="I125" t="str">
        <f t="shared" si="1"/>
        <v>TP</v>
      </c>
    </row>
    <row r="126" spans="1:9" x14ac:dyDescent="0.2">
      <c r="A126">
        <v>3257757</v>
      </c>
      <c r="B126">
        <v>3</v>
      </c>
      <c r="C126" t="s">
        <v>688</v>
      </c>
      <c r="D126" t="s">
        <v>295</v>
      </c>
      <c r="E126" t="s">
        <v>146</v>
      </c>
      <c r="F126" t="s">
        <v>3</v>
      </c>
      <c r="G126" t="s">
        <v>146</v>
      </c>
      <c r="I126" t="str">
        <f t="shared" si="1"/>
        <v>TP</v>
      </c>
    </row>
    <row r="127" spans="1:9" x14ac:dyDescent="0.2">
      <c r="A127">
        <v>3257757</v>
      </c>
      <c r="B127">
        <v>4</v>
      </c>
      <c r="C127" t="s">
        <v>691</v>
      </c>
      <c r="D127" t="s">
        <v>692</v>
      </c>
      <c r="E127" t="s">
        <v>1086</v>
      </c>
      <c r="F127" t="s">
        <v>44</v>
      </c>
      <c r="G127" t="s">
        <v>1086</v>
      </c>
      <c r="I127" t="str">
        <f t="shared" si="1"/>
        <v/>
      </c>
    </row>
    <row r="128" spans="1:9" x14ac:dyDescent="0.2">
      <c r="A128">
        <v>3257757</v>
      </c>
      <c r="B128">
        <v>4</v>
      </c>
      <c r="C128" t="s">
        <v>691</v>
      </c>
      <c r="D128" t="s">
        <v>693</v>
      </c>
      <c r="E128" t="s">
        <v>146</v>
      </c>
      <c r="F128" t="s">
        <v>3</v>
      </c>
      <c r="G128" t="s">
        <v>146</v>
      </c>
      <c r="I128" t="str">
        <f t="shared" si="1"/>
        <v>TP</v>
      </c>
    </row>
    <row r="129" spans="1:9" x14ac:dyDescent="0.2">
      <c r="A129">
        <v>3257757</v>
      </c>
      <c r="B129">
        <v>5</v>
      </c>
      <c r="C129" t="s">
        <v>694</v>
      </c>
      <c r="D129" t="s">
        <v>692</v>
      </c>
      <c r="E129" t="s">
        <v>1086</v>
      </c>
      <c r="F129" t="s">
        <v>44</v>
      </c>
      <c r="G129" t="s">
        <v>1086</v>
      </c>
      <c r="I129" t="str">
        <f t="shared" si="1"/>
        <v/>
      </c>
    </row>
    <row r="130" spans="1:9" x14ac:dyDescent="0.2">
      <c r="A130">
        <v>3257757</v>
      </c>
      <c r="B130">
        <v>6</v>
      </c>
      <c r="C130" t="s">
        <v>695</v>
      </c>
      <c r="D130" t="s">
        <v>57</v>
      </c>
      <c r="E130" t="s">
        <v>1086</v>
      </c>
      <c r="F130" t="s">
        <v>38</v>
      </c>
      <c r="G130" t="s">
        <v>1086</v>
      </c>
      <c r="I130" t="str">
        <f t="shared" ref="I130:I193" si="2">IF(OR(E130="FP",G130="FP"),"FP",IF(AND(E130="TP",E130="TP"),"TP",""))</f>
        <v/>
      </c>
    </row>
    <row r="131" spans="1:9" x14ac:dyDescent="0.2">
      <c r="A131">
        <v>3257757</v>
      </c>
      <c r="B131">
        <v>6</v>
      </c>
      <c r="C131" t="s">
        <v>695</v>
      </c>
      <c r="D131" t="s">
        <v>227</v>
      </c>
      <c r="E131" t="s">
        <v>146</v>
      </c>
      <c r="F131" t="s">
        <v>61</v>
      </c>
      <c r="G131" t="s">
        <v>146</v>
      </c>
      <c r="I131" t="str">
        <f t="shared" si="2"/>
        <v>TP</v>
      </c>
    </row>
    <row r="132" spans="1:9" x14ac:dyDescent="0.2">
      <c r="A132">
        <v>3257757</v>
      </c>
      <c r="B132">
        <v>7</v>
      </c>
      <c r="C132" t="s">
        <v>696</v>
      </c>
      <c r="D132" t="s">
        <v>697</v>
      </c>
      <c r="E132" t="s">
        <v>1086</v>
      </c>
      <c r="F132" t="s">
        <v>44</v>
      </c>
      <c r="G132" t="s">
        <v>1086</v>
      </c>
      <c r="I132" t="str">
        <f t="shared" si="2"/>
        <v/>
      </c>
    </row>
    <row r="133" spans="1:9" x14ac:dyDescent="0.2">
      <c r="A133">
        <v>3257757</v>
      </c>
      <c r="B133">
        <v>8</v>
      </c>
      <c r="C133" t="s">
        <v>698</v>
      </c>
      <c r="D133" t="s">
        <v>699</v>
      </c>
      <c r="E133" t="s">
        <v>1086</v>
      </c>
      <c r="F133" t="s">
        <v>38</v>
      </c>
      <c r="G133" t="s">
        <v>1086</v>
      </c>
      <c r="I133" t="str">
        <f t="shared" si="2"/>
        <v/>
      </c>
    </row>
    <row r="134" spans="1:9" x14ac:dyDescent="0.2">
      <c r="A134">
        <v>3345524</v>
      </c>
      <c r="B134">
        <v>0</v>
      </c>
      <c r="C134" t="s">
        <v>700</v>
      </c>
      <c r="D134" t="s">
        <v>658</v>
      </c>
      <c r="E134" t="s">
        <v>146</v>
      </c>
      <c r="F134" t="s">
        <v>3</v>
      </c>
      <c r="G134" t="s">
        <v>146</v>
      </c>
      <c r="I134" t="str">
        <f t="shared" si="2"/>
        <v>TP</v>
      </c>
    </row>
    <row r="135" spans="1:9" x14ac:dyDescent="0.2">
      <c r="A135">
        <v>3345524</v>
      </c>
      <c r="B135">
        <v>1</v>
      </c>
      <c r="C135" t="s">
        <v>701</v>
      </c>
      <c r="D135" t="s">
        <v>658</v>
      </c>
      <c r="E135" t="s">
        <v>146</v>
      </c>
      <c r="F135" t="s">
        <v>3</v>
      </c>
      <c r="G135" t="s">
        <v>146</v>
      </c>
      <c r="I135" t="str">
        <f t="shared" si="2"/>
        <v>TP</v>
      </c>
    </row>
    <row r="136" spans="1:9" x14ac:dyDescent="0.2">
      <c r="A136">
        <v>3345524</v>
      </c>
      <c r="B136">
        <v>2</v>
      </c>
      <c r="C136" t="s">
        <v>702</v>
      </c>
      <c r="D136" t="s">
        <v>703</v>
      </c>
      <c r="E136" t="s">
        <v>146</v>
      </c>
      <c r="F136" t="s">
        <v>3</v>
      </c>
      <c r="G136" t="s">
        <v>146</v>
      </c>
      <c r="I136" t="str">
        <f t="shared" si="2"/>
        <v>TP</v>
      </c>
    </row>
    <row r="137" spans="1:9" x14ac:dyDescent="0.2">
      <c r="A137">
        <v>3345524</v>
      </c>
      <c r="B137">
        <v>3</v>
      </c>
      <c r="C137" t="s">
        <v>704</v>
      </c>
      <c r="D137" t="s">
        <v>703</v>
      </c>
      <c r="E137" t="s">
        <v>146</v>
      </c>
      <c r="F137" t="s">
        <v>3</v>
      </c>
      <c r="G137" t="s">
        <v>146</v>
      </c>
      <c r="I137" t="str">
        <f t="shared" si="2"/>
        <v>TP</v>
      </c>
    </row>
    <row r="138" spans="1:9" x14ac:dyDescent="0.2">
      <c r="A138">
        <v>3345524</v>
      </c>
      <c r="B138">
        <v>3</v>
      </c>
      <c r="C138" t="s">
        <v>704</v>
      </c>
      <c r="D138" t="s">
        <v>267</v>
      </c>
      <c r="E138" t="s">
        <v>1086</v>
      </c>
      <c r="F138" t="s">
        <v>38</v>
      </c>
      <c r="G138" t="s">
        <v>1086</v>
      </c>
      <c r="I138" t="str">
        <f t="shared" si="2"/>
        <v/>
      </c>
    </row>
    <row r="139" spans="1:9" x14ac:dyDescent="0.2">
      <c r="A139">
        <v>3345524</v>
      </c>
      <c r="B139">
        <v>3</v>
      </c>
      <c r="C139" t="s">
        <v>704</v>
      </c>
      <c r="D139" t="s">
        <v>272</v>
      </c>
      <c r="E139" t="s">
        <v>146</v>
      </c>
      <c r="F139" t="s">
        <v>3</v>
      </c>
      <c r="G139" t="s">
        <v>146</v>
      </c>
      <c r="I139" t="str">
        <f t="shared" si="2"/>
        <v>TP</v>
      </c>
    </row>
    <row r="140" spans="1:9" x14ac:dyDescent="0.2">
      <c r="A140">
        <v>3345524</v>
      </c>
      <c r="B140">
        <v>3</v>
      </c>
      <c r="C140" t="s">
        <v>704</v>
      </c>
      <c r="D140" t="s">
        <v>234</v>
      </c>
      <c r="E140" t="s">
        <v>146</v>
      </c>
      <c r="F140" t="s">
        <v>3</v>
      </c>
      <c r="G140" t="s">
        <v>146</v>
      </c>
      <c r="I140" t="str">
        <f t="shared" si="2"/>
        <v>TP</v>
      </c>
    </row>
    <row r="141" spans="1:9" x14ac:dyDescent="0.2">
      <c r="A141">
        <v>3345524</v>
      </c>
      <c r="B141">
        <v>3</v>
      </c>
      <c r="C141" t="s">
        <v>704</v>
      </c>
      <c r="D141" t="s">
        <v>273</v>
      </c>
      <c r="E141" t="s">
        <v>146</v>
      </c>
      <c r="F141" t="s">
        <v>3</v>
      </c>
      <c r="G141" t="s">
        <v>146</v>
      </c>
      <c r="I141" t="str">
        <f t="shared" si="2"/>
        <v>TP</v>
      </c>
    </row>
    <row r="142" spans="1:9" x14ac:dyDescent="0.2">
      <c r="A142">
        <v>3345524</v>
      </c>
      <c r="B142">
        <v>3</v>
      </c>
      <c r="C142" t="s">
        <v>704</v>
      </c>
      <c r="D142" t="s">
        <v>255</v>
      </c>
      <c r="E142" t="s">
        <v>146</v>
      </c>
      <c r="F142" t="s">
        <v>3</v>
      </c>
      <c r="G142" t="s">
        <v>146</v>
      </c>
      <c r="I142" t="str">
        <f t="shared" si="2"/>
        <v>TP</v>
      </c>
    </row>
    <row r="143" spans="1:9" x14ac:dyDescent="0.2">
      <c r="A143">
        <v>3345524</v>
      </c>
      <c r="B143">
        <v>3</v>
      </c>
      <c r="C143" t="s">
        <v>704</v>
      </c>
      <c r="D143" t="s">
        <v>705</v>
      </c>
      <c r="E143" t="s">
        <v>146</v>
      </c>
      <c r="F143" t="s">
        <v>3</v>
      </c>
      <c r="G143" t="s">
        <v>146</v>
      </c>
      <c r="I143" t="str">
        <f t="shared" si="2"/>
        <v>TP</v>
      </c>
    </row>
    <row r="144" spans="1:9" x14ac:dyDescent="0.2">
      <c r="A144">
        <v>3345524</v>
      </c>
      <c r="B144">
        <v>3</v>
      </c>
      <c r="C144" t="s">
        <v>704</v>
      </c>
      <c r="D144" t="s">
        <v>249</v>
      </c>
      <c r="E144" t="s">
        <v>146</v>
      </c>
      <c r="F144" t="s">
        <v>3</v>
      </c>
      <c r="G144" t="s">
        <v>146</v>
      </c>
      <c r="I144" t="str">
        <f t="shared" si="2"/>
        <v>TP</v>
      </c>
    </row>
    <row r="145" spans="1:9" x14ac:dyDescent="0.2">
      <c r="A145">
        <v>3345524</v>
      </c>
      <c r="B145">
        <v>3</v>
      </c>
      <c r="C145" t="s">
        <v>704</v>
      </c>
      <c r="D145" t="s">
        <v>706</v>
      </c>
      <c r="E145" t="s">
        <v>146</v>
      </c>
      <c r="F145" t="s">
        <v>99</v>
      </c>
      <c r="G145" t="s">
        <v>146</v>
      </c>
      <c r="I145" t="str">
        <f t="shared" si="2"/>
        <v>TP</v>
      </c>
    </row>
    <row r="146" spans="1:9" x14ac:dyDescent="0.2">
      <c r="A146">
        <v>3345524</v>
      </c>
      <c r="B146">
        <v>4</v>
      </c>
      <c r="C146" t="s">
        <v>707</v>
      </c>
      <c r="D146" t="s">
        <v>1118</v>
      </c>
      <c r="E146" t="s">
        <v>1086</v>
      </c>
      <c r="F146" t="s">
        <v>3</v>
      </c>
      <c r="G146" t="s">
        <v>1086</v>
      </c>
      <c r="H146" t="s">
        <v>1092</v>
      </c>
      <c r="I146" t="str">
        <f t="shared" si="2"/>
        <v/>
      </c>
    </row>
    <row r="147" spans="1:9" x14ac:dyDescent="0.2">
      <c r="A147">
        <v>3345524</v>
      </c>
      <c r="B147">
        <v>4</v>
      </c>
      <c r="C147" t="s">
        <v>707</v>
      </c>
      <c r="D147" t="s">
        <v>703</v>
      </c>
      <c r="E147" t="s">
        <v>146</v>
      </c>
      <c r="F147" t="s">
        <v>3</v>
      </c>
      <c r="G147" t="s">
        <v>146</v>
      </c>
      <c r="I147" t="str">
        <f t="shared" si="2"/>
        <v>TP</v>
      </c>
    </row>
    <row r="148" spans="1:9" x14ac:dyDescent="0.2">
      <c r="A148">
        <v>3345524</v>
      </c>
      <c r="B148">
        <v>5</v>
      </c>
      <c r="C148" t="s">
        <v>708</v>
      </c>
      <c r="D148" t="s">
        <v>709</v>
      </c>
      <c r="E148" t="s">
        <v>146</v>
      </c>
      <c r="F148" t="s">
        <v>3</v>
      </c>
      <c r="G148" t="s">
        <v>146</v>
      </c>
      <c r="I148" t="str">
        <f t="shared" si="2"/>
        <v>TP</v>
      </c>
    </row>
    <row r="149" spans="1:9" x14ac:dyDescent="0.2">
      <c r="A149">
        <v>3345524</v>
      </c>
      <c r="B149">
        <v>6</v>
      </c>
      <c r="C149" t="s">
        <v>710</v>
      </c>
      <c r="D149" t="s">
        <v>709</v>
      </c>
      <c r="E149" t="s">
        <v>146</v>
      </c>
      <c r="F149" t="s">
        <v>3</v>
      </c>
      <c r="G149" t="s">
        <v>146</v>
      </c>
      <c r="I149" t="str">
        <f t="shared" si="2"/>
        <v>TP</v>
      </c>
    </row>
    <row r="150" spans="1:9" x14ac:dyDescent="0.2">
      <c r="A150">
        <v>3345524</v>
      </c>
      <c r="B150">
        <v>7</v>
      </c>
      <c r="C150" t="s">
        <v>711</v>
      </c>
      <c r="D150" t="s">
        <v>703</v>
      </c>
      <c r="E150" t="s">
        <v>146</v>
      </c>
      <c r="F150" t="s">
        <v>3</v>
      </c>
      <c r="G150" t="s">
        <v>146</v>
      </c>
      <c r="I150" t="str">
        <f t="shared" si="2"/>
        <v>TP</v>
      </c>
    </row>
    <row r="151" spans="1:9" x14ac:dyDescent="0.2">
      <c r="A151">
        <v>3345524</v>
      </c>
      <c r="B151">
        <v>7</v>
      </c>
      <c r="C151" t="s">
        <v>711</v>
      </c>
      <c r="D151" t="s">
        <v>703</v>
      </c>
      <c r="E151" t="s">
        <v>146</v>
      </c>
      <c r="F151" t="s">
        <v>3</v>
      </c>
      <c r="G151" t="s">
        <v>146</v>
      </c>
      <c r="I151" t="str">
        <f t="shared" si="2"/>
        <v>TP</v>
      </c>
    </row>
    <row r="152" spans="1:9" x14ac:dyDescent="0.2">
      <c r="A152">
        <v>3345524</v>
      </c>
      <c r="B152">
        <v>8</v>
      </c>
      <c r="C152" t="s">
        <v>712</v>
      </c>
      <c r="D152" t="s">
        <v>703</v>
      </c>
      <c r="E152" t="s">
        <v>146</v>
      </c>
      <c r="F152" t="s">
        <v>3</v>
      </c>
      <c r="G152" t="s">
        <v>146</v>
      </c>
      <c r="I152" t="str">
        <f t="shared" si="2"/>
        <v>TP</v>
      </c>
    </row>
    <row r="153" spans="1:9" x14ac:dyDescent="0.2">
      <c r="A153">
        <v>3345524</v>
      </c>
      <c r="B153">
        <v>9</v>
      </c>
      <c r="C153" t="s">
        <v>713</v>
      </c>
      <c r="I153" t="str">
        <f t="shared" si="2"/>
        <v/>
      </c>
    </row>
    <row r="154" spans="1:9" x14ac:dyDescent="0.2">
      <c r="A154">
        <v>3345524</v>
      </c>
      <c r="B154">
        <v>10</v>
      </c>
      <c r="C154" t="s">
        <v>714</v>
      </c>
      <c r="I154" t="str">
        <f t="shared" si="2"/>
        <v/>
      </c>
    </row>
    <row r="155" spans="1:9" x14ac:dyDescent="0.2">
      <c r="A155">
        <v>3345524</v>
      </c>
      <c r="B155">
        <v>11</v>
      </c>
      <c r="C155" t="s">
        <v>715</v>
      </c>
      <c r="I155" t="str">
        <f t="shared" si="2"/>
        <v/>
      </c>
    </row>
    <row r="156" spans="1:9" x14ac:dyDescent="0.2">
      <c r="A156">
        <v>3355161</v>
      </c>
      <c r="B156">
        <v>0</v>
      </c>
      <c r="C156" t="s">
        <v>716</v>
      </c>
      <c r="D156" s="10" t="s">
        <v>717</v>
      </c>
      <c r="E156" t="s">
        <v>1086</v>
      </c>
      <c r="F156" t="s">
        <v>38</v>
      </c>
      <c r="G156" t="s">
        <v>1086</v>
      </c>
      <c r="I156" t="str">
        <f t="shared" si="2"/>
        <v/>
      </c>
    </row>
    <row r="157" spans="1:9" x14ac:dyDescent="0.2">
      <c r="A157">
        <v>3355161</v>
      </c>
      <c r="B157">
        <v>0</v>
      </c>
      <c r="C157" t="s">
        <v>716</v>
      </c>
      <c r="D157" t="s">
        <v>267</v>
      </c>
      <c r="E157" t="s">
        <v>1086</v>
      </c>
      <c r="F157" t="s">
        <v>38</v>
      </c>
      <c r="G157" t="s">
        <v>1086</v>
      </c>
      <c r="I157" t="str">
        <f t="shared" si="2"/>
        <v/>
      </c>
    </row>
    <row r="158" spans="1:9" x14ac:dyDescent="0.2">
      <c r="A158">
        <v>3355161</v>
      </c>
      <c r="B158">
        <v>0</v>
      </c>
      <c r="C158" t="s">
        <v>716</v>
      </c>
      <c r="D158" t="s">
        <v>718</v>
      </c>
      <c r="E158" t="s">
        <v>146</v>
      </c>
      <c r="F158" t="s">
        <v>61</v>
      </c>
      <c r="G158" t="s">
        <v>146</v>
      </c>
      <c r="I158" t="str">
        <f t="shared" si="2"/>
        <v>TP</v>
      </c>
    </row>
    <row r="159" spans="1:9" x14ac:dyDescent="0.2">
      <c r="A159">
        <v>3355161</v>
      </c>
      <c r="B159">
        <v>1</v>
      </c>
      <c r="C159" t="s">
        <v>719</v>
      </c>
      <c r="D159" t="s">
        <v>267</v>
      </c>
      <c r="E159" t="s">
        <v>1086</v>
      </c>
      <c r="F159" t="s">
        <v>38</v>
      </c>
      <c r="G159" t="s">
        <v>1086</v>
      </c>
      <c r="I159" t="str">
        <f t="shared" si="2"/>
        <v/>
      </c>
    </row>
    <row r="160" spans="1:9" x14ac:dyDescent="0.2">
      <c r="A160">
        <v>3355161</v>
      </c>
      <c r="B160">
        <v>1</v>
      </c>
      <c r="C160" t="s">
        <v>719</v>
      </c>
      <c r="D160" t="s">
        <v>48</v>
      </c>
      <c r="E160" t="s">
        <v>1086</v>
      </c>
      <c r="F160" t="s">
        <v>38</v>
      </c>
      <c r="G160" t="s">
        <v>1086</v>
      </c>
      <c r="I160" t="str">
        <f t="shared" si="2"/>
        <v/>
      </c>
    </row>
    <row r="161" spans="1:9" x14ac:dyDescent="0.2">
      <c r="A161">
        <v>3355161</v>
      </c>
      <c r="B161">
        <v>1</v>
      </c>
      <c r="C161" t="s">
        <v>719</v>
      </c>
      <c r="D161" t="s">
        <v>720</v>
      </c>
      <c r="E161" t="s">
        <v>1086</v>
      </c>
      <c r="F161" t="s">
        <v>38</v>
      </c>
      <c r="G161" t="s">
        <v>1086</v>
      </c>
      <c r="I161" t="str">
        <f t="shared" si="2"/>
        <v/>
      </c>
    </row>
    <row r="162" spans="1:9" x14ac:dyDescent="0.2">
      <c r="A162">
        <v>3355161</v>
      </c>
      <c r="B162">
        <v>2</v>
      </c>
      <c r="C162" t="s">
        <v>721</v>
      </c>
      <c r="D162" t="s">
        <v>722</v>
      </c>
      <c r="E162" t="s">
        <v>146</v>
      </c>
      <c r="F162" t="s">
        <v>44</v>
      </c>
      <c r="G162" t="s">
        <v>146</v>
      </c>
      <c r="I162" t="str">
        <f t="shared" si="2"/>
        <v>TP</v>
      </c>
    </row>
    <row r="163" spans="1:9" x14ac:dyDescent="0.2">
      <c r="A163">
        <v>3355161</v>
      </c>
      <c r="B163">
        <v>2</v>
      </c>
      <c r="C163" t="s">
        <v>721</v>
      </c>
      <c r="D163" t="s">
        <v>276</v>
      </c>
      <c r="E163" t="s">
        <v>146</v>
      </c>
      <c r="F163" t="s">
        <v>3</v>
      </c>
      <c r="G163" t="s">
        <v>146</v>
      </c>
      <c r="I163" t="str">
        <f t="shared" si="2"/>
        <v>TP</v>
      </c>
    </row>
    <row r="164" spans="1:9" x14ac:dyDescent="0.2">
      <c r="A164">
        <v>3355161</v>
      </c>
      <c r="B164">
        <v>2</v>
      </c>
      <c r="C164" t="s">
        <v>721</v>
      </c>
      <c r="D164" t="s">
        <v>723</v>
      </c>
      <c r="E164" t="s">
        <v>146</v>
      </c>
      <c r="F164" t="s">
        <v>99</v>
      </c>
      <c r="G164" t="s">
        <v>146</v>
      </c>
      <c r="I164" t="str">
        <f t="shared" si="2"/>
        <v>TP</v>
      </c>
    </row>
    <row r="165" spans="1:9" x14ac:dyDescent="0.2">
      <c r="A165">
        <v>3355161</v>
      </c>
      <c r="B165">
        <v>2</v>
      </c>
      <c r="C165" t="s">
        <v>721</v>
      </c>
      <c r="D165" t="s">
        <v>724</v>
      </c>
      <c r="E165" t="s">
        <v>146</v>
      </c>
      <c r="F165" t="s">
        <v>3</v>
      </c>
      <c r="G165" t="s">
        <v>146</v>
      </c>
      <c r="I165" t="str">
        <f t="shared" si="2"/>
        <v>TP</v>
      </c>
    </row>
    <row r="166" spans="1:9" x14ac:dyDescent="0.2">
      <c r="A166">
        <v>3355161</v>
      </c>
      <c r="B166">
        <v>2</v>
      </c>
      <c r="C166" t="s">
        <v>721</v>
      </c>
      <c r="D166" t="s">
        <v>725</v>
      </c>
      <c r="E166" t="s">
        <v>146</v>
      </c>
      <c r="F166" t="s">
        <v>44</v>
      </c>
      <c r="G166" t="s">
        <v>146</v>
      </c>
      <c r="I166" t="str">
        <f t="shared" si="2"/>
        <v>TP</v>
      </c>
    </row>
    <row r="167" spans="1:9" x14ac:dyDescent="0.2">
      <c r="A167">
        <v>3355161</v>
      </c>
      <c r="B167">
        <v>2</v>
      </c>
      <c r="C167" t="s">
        <v>721</v>
      </c>
      <c r="D167" t="s">
        <v>726</v>
      </c>
      <c r="E167" t="s">
        <v>146</v>
      </c>
      <c r="F167" t="s">
        <v>99</v>
      </c>
      <c r="G167" t="s">
        <v>146</v>
      </c>
      <c r="I167" t="str">
        <f t="shared" si="2"/>
        <v>TP</v>
      </c>
    </row>
    <row r="168" spans="1:9" x14ac:dyDescent="0.2">
      <c r="A168">
        <v>3355161</v>
      </c>
      <c r="B168">
        <v>3</v>
      </c>
      <c r="C168" t="s">
        <v>727</v>
      </c>
      <c r="D168" t="s">
        <v>277</v>
      </c>
      <c r="E168" t="s">
        <v>146</v>
      </c>
      <c r="F168" t="s">
        <v>3</v>
      </c>
      <c r="G168" t="s">
        <v>146</v>
      </c>
      <c r="I168" t="str">
        <f t="shared" si="2"/>
        <v>TP</v>
      </c>
    </row>
    <row r="169" spans="1:9" x14ac:dyDescent="0.2">
      <c r="A169">
        <v>3355161</v>
      </c>
      <c r="B169">
        <v>4</v>
      </c>
      <c r="C169" t="s">
        <v>728</v>
      </c>
      <c r="D169" t="s">
        <v>277</v>
      </c>
      <c r="E169" t="s">
        <v>146</v>
      </c>
      <c r="F169" t="s">
        <v>3</v>
      </c>
      <c r="G169" t="s">
        <v>146</v>
      </c>
      <c r="I169" t="str">
        <f t="shared" si="2"/>
        <v>TP</v>
      </c>
    </row>
    <row r="170" spans="1:9" x14ac:dyDescent="0.2">
      <c r="A170">
        <v>3355161</v>
      </c>
      <c r="B170">
        <v>4</v>
      </c>
      <c r="C170" t="s">
        <v>728</v>
      </c>
      <c r="D170" t="s">
        <v>276</v>
      </c>
      <c r="E170" t="s">
        <v>146</v>
      </c>
      <c r="F170" t="s">
        <v>3</v>
      </c>
      <c r="G170" t="s">
        <v>146</v>
      </c>
      <c r="I170" t="str">
        <f t="shared" si="2"/>
        <v>TP</v>
      </c>
    </row>
    <row r="171" spans="1:9" x14ac:dyDescent="0.2">
      <c r="A171">
        <v>3355161</v>
      </c>
      <c r="B171">
        <v>4</v>
      </c>
      <c r="C171" t="s">
        <v>728</v>
      </c>
      <c r="D171" t="s">
        <v>725</v>
      </c>
      <c r="E171" t="s">
        <v>146</v>
      </c>
      <c r="F171" t="s">
        <v>44</v>
      </c>
      <c r="G171" t="s">
        <v>146</v>
      </c>
      <c r="I171" t="str">
        <f t="shared" si="2"/>
        <v>TP</v>
      </c>
    </row>
    <row r="172" spans="1:9" x14ac:dyDescent="0.2">
      <c r="A172">
        <v>3355161</v>
      </c>
      <c r="B172">
        <v>4</v>
      </c>
      <c r="C172" t="s">
        <v>728</v>
      </c>
      <c r="D172" t="s">
        <v>724</v>
      </c>
      <c r="E172" t="s">
        <v>146</v>
      </c>
      <c r="F172" t="s">
        <v>3</v>
      </c>
      <c r="G172" t="s">
        <v>146</v>
      </c>
      <c r="I172" t="str">
        <f t="shared" si="2"/>
        <v>TP</v>
      </c>
    </row>
    <row r="173" spans="1:9" x14ac:dyDescent="0.2">
      <c r="A173">
        <v>3355161</v>
      </c>
      <c r="B173">
        <v>5</v>
      </c>
      <c r="C173" t="s">
        <v>729</v>
      </c>
      <c r="D173" t="s">
        <v>730</v>
      </c>
      <c r="E173" t="s">
        <v>1086</v>
      </c>
      <c r="F173" t="s">
        <v>38</v>
      </c>
      <c r="G173" t="s">
        <v>1086</v>
      </c>
      <c r="I173" t="str">
        <f t="shared" si="2"/>
        <v/>
      </c>
    </row>
    <row r="174" spans="1:9" x14ac:dyDescent="0.2">
      <c r="A174">
        <v>3355161</v>
      </c>
      <c r="B174">
        <v>5</v>
      </c>
      <c r="C174" t="s">
        <v>729</v>
      </c>
      <c r="D174" t="s">
        <v>558</v>
      </c>
      <c r="E174" t="s">
        <v>1086</v>
      </c>
      <c r="F174" t="s">
        <v>38</v>
      </c>
      <c r="G174" t="s">
        <v>1086</v>
      </c>
      <c r="I174" t="str">
        <f t="shared" si="2"/>
        <v/>
      </c>
    </row>
    <row r="175" spans="1:9" x14ac:dyDescent="0.2">
      <c r="A175">
        <v>3355161</v>
      </c>
      <c r="B175">
        <v>6</v>
      </c>
      <c r="C175" t="s">
        <v>731</v>
      </c>
      <c r="D175" t="s">
        <v>267</v>
      </c>
      <c r="E175" t="s">
        <v>1086</v>
      </c>
      <c r="F175" t="s">
        <v>38</v>
      </c>
      <c r="G175" t="s">
        <v>1086</v>
      </c>
      <c r="I175" t="str">
        <f t="shared" si="2"/>
        <v/>
      </c>
    </row>
    <row r="176" spans="1:9" x14ac:dyDescent="0.2">
      <c r="A176">
        <v>3355161</v>
      </c>
      <c r="B176">
        <v>6</v>
      </c>
      <c r="C176" t="s">
        <v>731</v>
      </c>
      <c r="D176" s="10" t="s">
        <v>732</v>
      </c>
      <c r="E176" t="s">
        <v>1086</v>
      </c>
      <c r="F176" t="s">
        <v>38</v>
      </c>
      <c r="G176" t="s">
        <v>1086</v>
      </c>
      <c r="I176" t="str">
        <f t="shared" si="2"/>
        <v/>
      </c>
    </row>
    <row r="177" spans="1:9" x14ac:dyDescent="0.2">
      <c r="A177">
        <v>3355161</v>
      </c>
      <c r="B177">
        <v>7</v>
      </c>
      <c r="C177" t="s">
        <v>733</v>
      </c>
      <c r="D177" t="s">
        <v>734</v>
      </c>
      <c r="E177" t="s">
        <v>167</v>
      </c>
      <c r="F177" t="s">
        <v>3</v>
      </c>
      <c r="G177" t="s">
        <v>167</v>
      </c>
      <c r="I177" t="str">
        <f t="shared" si="2"/>
        <v>FP</v>
      </c>
    </row>
    <row r="178" spans="1:9" x14ac:dyDescent="0.2">
      <c r="A178">
        <v>3489485</v>
      </c>
      <c r="B178">
        <v>0</v>
      </c>
      <c r="C178" t="s">
        <v>735</v>
      </c>
      <c r="D178" t="s">
        <v>736</v>
      </c>
      <c r="E178" t="s">
        <v>146</v>
      </c>
      <c r="F178" t="s">
        <v>3</v>
      </c>
      <c r="G178" t="s">
        <v>146</v>
      </c>
      <c r="I178" t="str">
        <f t="shared" si="2"/>
        <v>TP</v>
      </c>
    </row>
    <row r="179" spans="1:9" x14ac:dyDescent="0.2">
      <c r="A179">
        <v>3489485</v>
      </c>
      <c r="B179">
        <v>0</v>
      </c>
      <c r="C179" t="s">
        <v>735</v>
      </c>
      <c r="D179" t="s">
        <v>383</v>
      </c>
      <c r="E179" t="s">
        <v>146</v>
      </c>
      <c r="F179" t="s">
        <v>3</v>
      </c>
      <c r="G179" t="s">
        <v>146</v>
      </c>
      <c r="I179" t="str">
        <f t="shared" si="2"/>
        <v>TP</v>
      </c>
    </row>
    <row r="180" spans="1:9" x14ac:dyDescent="0.2">
      <c r="A180">
        <v>3489485</v>
      </c>
      <c r="B180">
        <v>1</v>
      </c>
      <c r="C180" t="s">
        <v>737</v>
      </c>
      <c r="D180" t="s">
        <v>48</v>
      </c>
      <c r="E180" t="s">
        <v>1086</v>
      </c>
      <c r="F180" t="s">
        <v>38</v>
      </c>
      <c r="G180" t="s">
        <v>1086</v>
      </c>
      <c r="I180" t="str">
        <f t="shared" si="2"/>
        <v/>
      </c>
    </row>
    <row r="181" spans="1:9" x14ac:dyDescent="0.2">
      <c r="A181">
        <v>3489485</v>
      </c>
      <c r="B181">
        <v>1</v>
      </c>
      <c r="C181" t="s">
        <v>737</v>
      </c>
      <c r="D181" t="s">
        <v>533</v>
      </c>
      <c r="E181" t="s">
        <v>146</v>
      </c>
      <c r="F181" t="s">
        <v>44</v>
      </c>
      <c r="G181" t="s">
        <v>146</v>
      </c>
      <c r="I181" t="str">
        <f t="shared" si="2"/>
        <v>TP</v>
      </c>
    </row>
    <row r="182" spans="1:9" x14ac:dyDescent="0.2">
      <c r="A182">
        <v>3489485</v>
      </c>
      <c r="B182">
        <v>2</v>
      </c>
      <c r="C182" t="s">
        <v>738</v>
      </c>
      <c r="I182" t="str">
        <f t="shared" si="2"/>
        <v/>
      </c>
    </row>
    <row r="183" spans="1:9" x14ac:dyDescent="0.2">
      <c r="A183">
        <v>3489485</v>
      </c>
      <c r="B183">
        <v>3</v>
      </c>
      <c r="C183" t="s">
        <v>739</v>
      </c>
      <c r="I183" t="str">
        <f t="shared" si="2"/>
        <v/>
      </c>
    </row>
    <row r="184" spans="1:9" x14ac:dyDescent="0.2">
      <c r="A184">
        <v>3489485</v>
      </c>
      <c r="B184">
        <v>4</v>
      </c>
      <c r="C184" t="s">
        <v>740</v>
      </c>
      <c r="D184" s="10" t="s">
        <v>1093</v>
      </c>
      <c r="E184" t="s">
        <v>146</v>
      </c>
      <c r="F184" t="s">
        <v>99</v>
      </c>
      <c r="G184" t="s">
        <v>146</v>
      </c>
      <c r="I184" t="str">
        <f t="shared" si="2"/>
        <v>TP</v>
      </c>
    </row>
    <row r="185" spans="1:9" x14ac:dyDescent="0.2">
      <c r="A185">
        <v>3489485</v>
      </c>
      <c r="B185">
        <v>5</v>
      </c>
      <c r="C185" t="s">
        <v>741</v>
      </c>
      <c r="D185" t="s">
        <v>48</v>
      </c>
      <c r="E185" t="s">
        <v>1086</v>
      </c>
      <c r="F185" t="s">
        <v>38</v>
      </c>
      <c r="G185" t="s">
        <v>1086</v>
      </c>
      <c r="I185" t="str">
        <f t="shared" si="2"/>
        <v/>
      </c>
    </row>
    <row r="186" spans="1:9" x14ac:dyDescent="0.2">
      <c r="A186">
        <v>3489485</v>
      </c>
      <c r="B186">
        <v>5</v>
      </c>
      <c r="C186" t="s">
        <v>741</v>
      </c>
      <c r="D186" t="s">
        <v>736</v>
      </c>
      <c r="E186" t="s">
        <v>146</v>
      </c>
      <c r="F186" t="s">
        <v>3</v>
      </c>
      <c r="G186" t="s">
        <v>146</v>
      </c>
      <c r="I186" t="str">
        <f t="shared" si="2"/>
        <v>TP</v>
      </c>
    </row>
    <row r="187" spans="1:9" x14ac:dyDescent="0.2">
      <c r="A187">
        <v>3815386</v>
      </c>
      <c r="B187">
        <v>0</v>
      </c>
      <c r="C187" t="s">
        <v>742</v>
      </c>
      <c r="D187" t="s">
        <v>267</v>
      </c>
      <c r="E187" t="s">
        <v>1086</v>
      </c>
      <c r="F187" t="s">
        <v>38</v>
      </c>
      <c r="G187" t="s">
        <v>1086</v>
      </c>
      <c r="I187" t="str">
        <f t="shared" si="2"/>
        <v/>
      </c>
    </row>
    <row r="188" spans="1:9" x14ac:dyDescent="0.2">
      <c r="A188">
        <v>3815386</v>
      </c>
      <c r="B188">
        <v>0</v>
      </c>
      <c r="C188" t="s">
        <v>742</v>
      </c>
      <c r="D188" t="s">
        <v>743</v>
      </c>
      <c r="E188" t="s">
        <v>146</v>
      </c>
      <c r="F188" t="s">
        <v>44</v>
      </c>
      <c r="G188" t="s">
        <v>146</v>
      </c>
      <c r="I188" t="str">
        <f t="shared" si="2"/>
        <v>TP</v>
      </c>
    </row>
    <row r="189" spans="1:9" x14ac:dyDescent="0.2">
      <c r="A189">
        <v>3815386</v>
      </c>
      <c r="B189">
        <v>1</v>
      </c>
      <c r="C189" t="s">
        <v>744</v>
      </c>
      <c r="D189" t="s">
        <v>745</v>
      </c>
      <c r="E189" t="s">
        <v>146</v>
      </c>
      <c r="F189" t="s">
        <v>44</v>
      </c>
      <c r="G189" t="s">
        <v>146</v>
      </c>
      <c r="I189" t="str">
        <f t="shared" si="2"/>
        <v>TP</v>
      </c>
    </row>
    <row r="190" spans="1:9" x14ac:dyDescent="0.2">
      <c r="A190">
        <v>3815386</v>
      </c>
      <c r="B190">
        <v>2</v>
      </c>
      <c r="C190" t="s">
        <v>746</v>
      </c>
      <c r="D190" t="s">
        <v>267</v>
      </c>
      <c r="E190" t="s">
        <v>1086</v>
      </c>
      <c r="F190" t="s">
        <v>38</v>
      </c>
      <c r="G190" t="s">
        <v>1086</v>
      </c>
      <c r="I190" t="str">
        <f t="shared" si="2"/>
        <v/>
      </c>
    </row>
    <row r="191" spans="1:9" x14ac:dyDescent="0.2">
      <c r="A191">
        <v>3815386</v>
      </c>
      <c r="B191">
        <v>3</v>
      </c>
      <c r="C191" t="s">
        <v>747</v>
      </c>
      <c r="D191" t="s">
        <v>48</v>
      </c>
      <c r="E191" t="s">
        <v>1086</v>
      </c>
      <c r="F191" t="s">
        <v>38</v>
      </c>
      <c r="G191" t="s">
        <v>1086</v>
      </c>
      <c r="I191" t="str">
        <f t="shared" si="2"/>
        <v/>
      </c>
    </row>
    <row r="192" spans="1:9" x14ac:dyDescent="0.2">
      <c r="A192">
        <v>3815386</v>
      </c>
      <c r="B192">
        <v>4</v>
      </c>
      <c r="C192" t="s">
        <v>748</v>
      </c>
      <c r="D192" t="s">
        <v>267</v>
      </c>
      <c r="E192" t="s">
        <v>1086</v>
      </c>
      <c r="F192" t="s">
        <v>38</v>
      </c>
      <c r="G192" t="s">
        <v>1086</v>
      </c>
      <c r="I192" t="str">
        <f t="shared" si="2"/>
        <v/>
      </c>
    </row>
    <row r="193" spans="1:9" x14ac:dyDescent="0.2">
      <c r="A193">
        <v>3815386</v>
      </c>
      <c r="B193">
        <v>4</v>
      </c>
      <c r="C193" t="s">
        <v>748</v>
      </c>
      <c r="D193" t="s">
        <v>272</v>
      </c>
      <c r="E193" t="s">
        <v>146</v>
      </c>
      <c r="F193" t="s">
        <v>3</v>
      </c>
      <c r="G193" t="s">
        <v>146</v>
      </c>
      <c r="I193" t="str">
        <f t="shared" si="2"/>
        <v>TP</v>
      </c>
    </row>
    <row r="194" spans="1:9" x14ac:dyDescent="0.2">
      <c r="A194">
        <v>3815386</v>
      </c>
      <c r="B194">
        <v>4</v>
      </c>
      <c r="C194" t="s">
        <v>748</v>
      </c>
      <c r="D194" t="s">
        <v>749</v>
      </c>
      <c r="E194" t="s">
        <v>146</v>
      </c>
      <c r="F194" t="s">
        <v>3</v>
      </c>
      <c r="G194" t="s">
        <v>146</v>
      </c>
      <c r="I194" t="str">
        <f t="shared" ref="I194:I257" si="3">IF(OR(E194="FP",G194="FP"),"FP",IF(AND(E194="TP",E194="TP"),"TP",""))</f>
        <v>TP</v>
      </c>
    </row>
    <row r="195" spans="1:9" x14ac:dyDescent="0.2">
      <c r="A195">
        <v>3815386</v>
      </c>
      <c r="B195">
        <v>4</v>
      </c>
      <c r="C195" t="s">
        <v>748</v>
      </c>
      <c r="D195" t="s">
        <v>234</v>
      </c>
      <c r="E195" t="s">
        <v>146</v>
      </c>
      <c r="F195" t="s">
        <v>3</v>
      </c>
      <c r="G195" t="s">
        <v>146</v>
      </c>
      <c r="I195" t="str">
        <f t="shared" si="3"/>
        <v>TP</v>
      </c>
    </row>
    <row r="196" spans="1:9" x14ac:dyDescent="0.2">
      <c r="A196">
        <v>3815386</v>
      </c>
      <c r="B196">
        <v>4</v>
      </c>
      <c r="C196" t="s">
        <v>748</v>
      </c>
      <c r="D196" t="s">
        <v>750</v>
      </c>
      <c r="E196" t="s">
        <v>146</v>
      </c>
      <c r="F196" t="s">
        <v>3</v>
      </c>
      <c r="G196" t="s">
        <v>146</v>
      </c>
      <c r="I196" t="str">
        <f t="shared" si="3"/>
        <v>TP</v>
      </c>
    </row>
    <row r="197" spans="1:9" x14ac:dyDescent="0.2">
      <c r="A197">
        <v>3815386</v>
      </c>
      <c r="B197">
        <v>4</v>
      </c>
      <c r="C197" t="s">
        <v>748</v>
      </c>
      <c r="D197" t="s">
        <v>324</v>
      </c>
      <c r="E197" t="s">
        <v>146</v>
      </c>
      <c r="F197" t="s">
        <v>44</v>
      </c>
      <c r="G197" t="s">
        <v>146</v>
      </c>
      <c r="I197" t="str">
        <f t="shared" si="3"/>
        <v>TP</v>
      </c>
    </row>
    <row r="198" spans="1:9" x14ac:dyDescent="0.2">
      <c r="A198">
        <v>3815386</v>
      </c>
      <c r="B198">
        <v>4</v>
      </c>
      <c r="C198" t="s">
        <v>748</v>
      </c>
      <c r="D198" t="s">
        <v>751</v>
      </c>
      <c r="E198" t="s">
        <v>146</v>
      </c>
      <c r="F198" t="s">
        <v>3</v>
      </c>
      <c r="G198" t="s">
        <v>146</v>
      </c>
      <c r="I198" t="str">
        <f t="shared" si="3"/>
        <v>TP</v>
      </c>
    </row>
    <row r="199" spans="1:9" x14ac:dyDescent="0.2">
      <c r="A199">
        <v>3815386</v>
      </c>
      <c r="B199">
        <v>5</v>
      </c>
      <c r="C199" t="s">
        <v>752</v>
      </c>
      <c r="D199" t="s">
        <v>753</v>
      </c>
      <c r="E199" t="s">
        <v>146</v>
      </c>
      <c r="F199" t="s">
        <v>3</v>
      </c>
      <c r="G199" t="s">
        <v>146</v>
      </c>
      <c r="I199" t="str">
        <f t="shared" si="3"/>
        <v>TP</v>
      </c>
    </row>
    <row r="200" spans="1:9" x14ac:dyDescent="0.2">
      <c r="A200">
        <v>3815386</v>
      </c>
      <c r="B200">
        <v>5</v>
      </c>
      <c r="C200" t="s">
        <v>752</v>
      </c>
      <c r="D200" t="s">
        <v>273</v>
      </c>
      <c r="E200" t="s">
        <v>146</v>
      </c>
      <c r="F200" t="s">
        <v>3</v>
      </c>
      <c r="G200" t="s">
        <v>146</v>
      </c>
      <c r="I200" t="str">
        <f t="shared" si="3"/>
        <v>TP</v>
      </c>
    </row>
    <row r="201" spans="1:9" x14ac:dyDescent="0.2">
      <c r="A201">
        <v>3815386</v>
      </c>
      <c r="B201">
        <v>5</v>
      </c>
      <c r="C201" t="s">
        <v>752</v>
      </c>
      <c r="D201" t="s">
        <v>255</v>
      </c>
      <c r="E201" t="s">
        <v>146</v>
      </c>
      <c r="F201" t="s">
        <v>3</v>
      </c>
      <c r="G201" t="s">
        <v>146</v>
      </c>
      <c r="I201" t="str">
        <f t="shared" si="3"/>
        <v>TP</v>
      </c>
    </row>
    <row r="202" spans="1:9" x14ac:dyDescent="0.2">
      <c r="A202">
        <v>3815386</v>
      </c>
      <c r="B202">
        <v>6</v>
      </c>
      <c r="C202" t="s">
        <v>754</v>
      </c>
      <c r="I202" t="str">
        <f t="shared" si="3"/>
        <v/>
      </c>
    </row>
    <row r="203" spans="1:9" x14ac:dyDescent="0.2">
      <c r="A203">
        <v>3815386</v>
      </c>
      <c r="B203">
        <v>7</v>
      </c>
      <c r="C203" t="s">
        <v>755</v>
      </c>
      <c r="D203" t="s">
        <v>273</v>
      </c>
      <c r="E203" t="s">
        <v>146</v>
      </c>
      <c r="F203" t="s">
        <v>3</v>
      </c>
      <c r="G203" t="s">
        <v>146</v>
      </c>
      <c r="I203" t="str">
        <f t="shared" si="3"/>
        <v>TP</v>
      </c>
    </row>
    <row r="204" spans="1:9" x14ac:dyDescent="0.2">
      <c r="A204">
        <v>3815386</v>
      </c>
      <c r="B204">
        <v>7</v>
      </c>
      <c r="C204" t="s">
        <v>755</v>
      </c>
      <c r="D204" t="s">
        <v>255</v>
      </c>
      <c r="E204" t="s">
        <v>146</v>
      </c>
      <c r="F204" t="s">
        <v>3</v>
      </c>
      <c r="G204" t="s">
        <v>146</v>
      </c>
      <c r="I204" t="str">
        <f t="shared" si="3"/>
        <v>TP</v>
      </c>
    </row>
    <row r="205" spans="1:9" x14ac:dyDescent="0.2">
      <c r="A205">
        <v>3815386</v>
      </c>
      <c r="B205">
        <v>7</v>
      </c>
      <c r="C205" t="s">
        <v>755</v>
      </c>
      <c r="D205" t="s">
        <v>277</v>
      </c>
      <c r="E205" t="s">
        <v>146</v>
      </c>
      <c r="F205" t="s">
        <v>3</v>
      </c>
      <c r="G205" t="s">
        <v>146</v>
      </c>
      <c r="I205" t="str">
        <f t="shared" si="3"/>
        <v>TP</v>
      </c>
    </row>
    <row r="206" spans="1:9" x14ac:dyDescent="0.2">
      <c r="A206">
        <v>3815386</v>
      </c>
      <c r="B206">
        <v>7</v>
      </c>
      <c r="C206" t="s">
        <v>755</v>
      </c>
      <c r="D206" t="s">
        <v>267</v>
      </c>
      <c r="E206" t="s">
        <v>1086</v>
      </c>
      <c r="F206" t="s">
        <v>38</v>
      </c>
      <c r="G206" t="s">
        <v>1086</v>
      </c>
      <c r="I206" t="str">
        <f t="shared" si="3"/>
        <v/>
      </c>
    </row>
    <row r="207" spans="1:9" x14ac:dyDescent="0.2">
      <c r="A207">
        <v>3815386</v>
      </c>
      <c r="B207">
        <v>8</v>
      </c>
      <c r="C207" t="s">
        <v>756</v>
      </c>
      <c r="D207" t="s">
        <v>757</v>
      </c>
      <c r="E207" t="s">
        <v>1086</v>
      </c>
      <c r="F207" t="s">
        <v>38</v>
      </c>
      <c r="G207" t="s">
        <v>1086</v>
      </c>
      <c r="I207" t="str">
        <f t="shared" si="3"/>
        <v/>
      </c>
    </row>
    <row r="208" spans="1:9" x14ac:dyDescent="0.2">
      <c r="A208">
        <v>3815386</v>
      </c>
      <c r="B208">
        <v>9</v>
      </c>
      <c r="C208" t="s">
        <v>758</v>
      </c>
      <c r="D208" t="s">
        <v>759</v>
      </c>
      <c r="E208" t="s">
        <v>1086</v>
      </c>
      <c r="F208" t="s">
        <v>38</v>
      </c>
      <c r="G208" t="s">
        <v>1086</v>
      </c>
      <c r="I208" t="str">
        <f t="shared" si="3"/>
        <v/>
      </c>
    </row>
    <row r="209" spans="1:9" x14ac:dyDescent="0.2">
      <c r="A209">
        <v>3815386</v>
      </c>
      <c r="B209">
        <v>9</v>
      </c>
      <c r="C209" t="s">
        <v>758</v>
      </c>
      <c r="D209" t="s">
        <v>267</v>
      </c>
      <c r="E209" t="s">
        <v>1086</v>
      </c>
      <c r="F209" t="s">
        <v>38</v>
      </c>
      <c r="G209" t="s">
        <v>1086</v>
      </c>
      <c r="I209" t="str">
        <f t="shared" si="3"/>
        <v/>
      </c>
    </row>
    <row r="210" spans="1:9" x14ac:dyDescent="0.2">
      <c r="A210">
        <v>3815386</v>
      </c>
      <c r="B210">
        <v>9</v>
      </c>
      <c r="C210" t="s">
        <v>758</v>
      </c>
      <c r="D210" t="s">
        <v>267</v>
      </c>
      <c r="E210" t="s">
        <v>1086</v>
      </c>
      <c r="F210" t="s">
        <v>38</v>
      </c>
      <c r="G210" t="s">
        <v>1086</v>
      </c>
      <c r="I210" t="str">
        <f t="shared" si="3"/>
        <v/>
      </c>
    </row>
    <row r="211" spans="1:9" x14ac:dyDescent="0.2">
      <c r="A211">
        <v>6203846</v>
      </c>
      <c r="B211">
        <v>0</v>
      </c>
      <c r="C211" t="s">
        <v>760</v>
      </c>
      <c r="D211" t="s">
        <v>761</v>
      </c>
      <c r="E211" t="s">
        <v>146</v>
      </c>
      <c r="F211" t="s">
        <v>44</v>
      </c>
      <c r="G211" t="s">
        <v>146</v>
      </c>
      <c r="I211" t="str">
        <f t="shared" si="3"/>
        <v>TP</v>
      </c>
    </row>
    <row r="212" spans="1:9" x14ac:dyDescent="0.2">
      <c r="A212">
        <v>6203846</v>
      </c>
      <c r="B212">
        <v>1</v>
      </c>
      <c r="C212" t="s">
        <v>762</v>
      </c>
      <c r="D212" t="s">
        <v>763</v>
      </c>
      <c r="E212" t="s">
        <v>146</v>
      </c>
      <c r="F212" t="s">
        <v>44</v>
      </c>
      <c r="G212" t="s">
        <v>146</v>
      </c>
      <c r="I212" t="str">
        <f t="shared" si="3"/>
        <v>TP</v>
      </c>
    </row>
    <row r="213" spans="1:9" x14ac:dyDescent="0.2">
      <c r="A213">
        <v>6203846</v>
      </c>
      <c r="B213">
        <v>2</v>
      </c>
      <c r="C213" t="s">
        <v>764</v>
      </c>
      <c r="D213" t="s">
        <v>761</v>
      </c>
      <c r="E213" t="s">
        <v>146</v>
      </c>
      <c r="F213" t="s">
        <v>44</v>
      </c>
      <c r="G213" t="s">
        <v>146</v>
      </c>
      <c r="I213" t="str">
        <f t="shared" si="3"/>
        <v>TP</v>
      </c>
    </row>
    <row r="214" spans="1:9" x14ac:dyDescent="0.2">
      <c r="A214">
        <v>6203846</v>
      </c>
      <c r="B214">
        <v>3</v>
      </c>
      <c r="C214" t="s">
        <v>765</v>
      </c>
      <c r="I214" t="str">
        <f t="shared" si="3"/>
        <v/>
      </c>
    </row>
    <row r="215" spans="1:9" x14ac:dyDescent="0.2">
      <c r="A215">
        <v>6203846</v>
      </c>
      <c r="B215">
        <v>4</v>
      </c>
      <c r="C215" t="s">
        <v>766</v>
      </c>
      <c r="D215" t="s">
        <v>767</v>
      </c>
      <c r="E215" t="s">
        <v>146</v>
      </c>
      <c r="F215" t="s">
        <v>44</v>
      </c>
      <c r="G215" t="s">
        <v>146</v>
      </c>
      <c r="I215" t="str">
        <f t="shared" si="3"/>
        <v>TP</v>
      </c>
    </row>
    <row r="216" spans="1:9" x14ac:dyDescent="0.2">
      <c r="A216">
        <v>6203846</v>
      </c>
      <c r="B216">
        <v>5</v>
      </c>
      <c r="C216" t="s">
        <v>768</v>
      </c>
      <c r="D216" t="s">
        <v>767</v>
      </c>
      <c r="E216" t="s">
        <v>146</v>
      </c>
      <c r="F216" t="s">
        <v>44</v>
      </c>
      <c r="G216" t="s">
        <v>146</v>
      </c>
      <c r="I216" t="str">
        <f t="shared" si="3"/>
        <v>TP</v>
      </c>
    </row>
    <row r="217" spans="1:9" x14ac:dyDescent="0.2">
      <c r="A217">
        <v>6203846</v>
      </c>
      <c r="B217">
        <v>6</v>
      </c>
      <c r="C217" t="s">
        <v>769</v>
      </c>
      <c r="I217" t="str">
        <f t="shared" si="3"/>
        <v/>
      </c>
    </row>
    <row r="218" spans="1:9" x14ac:dyDescent="0.2">
      <c r="A218">
        <v>6203846</v>
      </c>
      <c r="B218">
        <v>7</v>
      </c>
      <c r="C218" t="s">
        <v>770</v>
      </c>
      <c r="H218" t="s">
        <v>1094</v>
      </c>
      <c r="I218" t="str">
        <f t="shared" si="3"/>
        <v/>
      </c>
    </row>
    <row r="219" spans="1:9" x14ac:dyDescent="0.2">
      <c r="A219">
        <v>6203846</v>
      </c>
      <c r="B219">
        <v>8</v>
      </c>
      <c r="C219" t="s">
        <v>771</v>
      </c>
      <c r="H219" t="s">
        <v>1094</v>
      </c>
      <c r="I219" t="str">
        <f t="shared" si="3"/>
        <v/>
      </c>
    </row>
    <row r="220" spans="1:9" x14ac:dyDescent="0.2">
      <c r="A220">
        <v>6203846</v>
      </c>
      <c r="B220">
        <v>9</v>
      </c>
      <c r="C220" t="s">
        <v>772</v>
      </c>
      <c r="D220" t="s">
        <v>773</v>
      </c>
      <c r="E220" t="s">
        <v>146</v>
      </c>
      <c r="F220" t="s">
        <v>44</v>
      </c>
      <c r="G220" t="s">
        <v>146</v>
      </c>
      <c r="I220" t="str">
        <f t="shared" si="3"/>
        <v>TP</v>
      </c>
    </row>
    <row r="221" spans="1:9" x14ac:dyDescent="0.2">
      <c r="A221">
        <v>6203982</v>
      </c>
      <c r="B221">
        <v>0</v>
      </c>
      <c r="C221" t="s">
        <v>774</v>
      </c>
      <c r="D221" t="s">
        <v>775</v>
      </c>
      <c r="E221" t="s">
        <v>1086</v>
      </c>
      <c r="F221" t="s">
        <v>38</v>
      </c>
      <c r="G221" t="s">
        <v>1086</v>
      </c>
      <c r="I221" t="str">
        <f t="shared" si="3"/>
        <v/>
      </c>
    </row>
    <row r="222" spans="1:9" x14ac:dyDescent="0.2">
      <c r="A222">
        <v>6203982</v>
      </c>
      <c r="B222">
        <v>0</v>
      </c>
      <c r="C222" t="s">
        <v>774</v>
      </c>
      <c r="D222" t="s">
        <v>776</v>
      </c>
      <c r="E222" t="s">
        <v>146</v>
      </c>
      <c r="F222" t="s">
        <v>44</v>
      </c>
      <c r="G222" t="s">
        <v>146</v>
      </c>
      <c r="H222" t="s">
        <v>1095</v>
      </c>
      <c r="I222" t="str">
        <f t="shared" si="3"/>
        <v>TP</v>
      </c>
    </row>
    <row r="223" spans="1:9" x14ac:dyDescent="0.2">
      <c r="A223">
        <v>6203982</v>
      </c>
      <c r="B223">
        <v>1</v>
      </c>
      <c r="C223" t="s">
        <v>777</v>
      </c>
      <c r="D223" t="s">
        <v>267</v>
      </c>
      <c r="E223" t="s">
        <v>1086</v>
      </c>
      <c r="F223" t="s">
        <v>38</v>
      </c>
      <c r="G223" t="s">
        <v>1086</v>
      </c>
      <c r="I223" t="str">
        <f t="shared" si="3"/>
        <v/>
      </c>
    </row>
    <row r="224" spans="1:9" x14ac:dyDescent="0.2">
      <c r="A224">
        <v>6203982</v>
      </c>
      <c r="B224">
        <v>1</v>
      </c>
      <c r="C224" t="s">
        <v>777</v>
      </c>
      <c r="D224" t="s">
        <v>69</v>
      </c>
      <c r="E224" t="s">
        <v>1086</v>
      </c>
      <c r="F224" t="s">
        <v>38</v>
      </c>
      <c r="G224" t="s">
        <v>1086</v>
      </c>
      <c r="I224" t="str">
        <f t="shared" si="3"/>
        <v/>
      </c>
    </row>
    <row r="225" spans="1:9" x14ac:dyDescent="0.2">
      <c r="A225">
        <v>6203982</v>
      </c>
      <c r="B225">
        <v>1</v>
      </c>
      <c r="C225" t="s">
        <v>777</v>
      </c>
      <c r="D225" t="s">
        <v>778</v>
      </c>
      <c r="E225" t="s">
        <v>1086</v>
      </c>
      <c r="F225" t="s">
        <v>38</v>
      </c>
      <c r="G225" t="s">
        <v>1086</v>
      </c>
      <c r="I225" t="str">
        <f t="shared" si="3"/>
        <v/>
      </c>
    </row>
    <row r="226" spans="1:9" x14ac:dyDescent="0.2">
      <c r="A226">
        <v>6203982</v>
      </c>
      <c r="B226">
        <v>2</v>
      </c>
      <c r="C226" t="s">
        <v>779</v>
      </c>
      <c r="D226" t="s">
        <v>780</v>
      </c>
      <c r="E226" t="s">
        <v>146</v>
      </c>
      <c r="F226" t="s">
        <v>3</v>
      </c>
      <c r="G226" t="s">
        <v>146</v>
      </c>
      <c r="H226" t="s">
        <v>1096</v>
      </c>
      <c r="I226" t="str">
        <f t="shared" si="3"/>
        <v>TP</v>
      </c>
    </row>
    <row r="227" spans="1:9" x14ac:dyDescent="0.2">
      <c r="A227">
        <v>6203982</v>
      </c>
      <c r="B227">
        <v>3</v>
      </c>
      <c r="C227" t="s">
        <v>781</v>
      </c>
      <c r="D227" t="s">
        <v>48</v>
      </c>
      <c r="E227" t="s">
        <v>1086</v>
      </c>
      <c r="F227" t="s">
        <v>38</v>
      </c>
      <c r="G227" t="s">
        <v>1086</v>
      </c>
      <c r="I227" t="str">
        <f t="shared" si="3"/>
        <v/>
      </c>
    </row>
    <row r="228" spans="1:9" x14ac:dyDescent="0.2">
      <c r="A228">
        <v>6203982</v>
      </c>
      <c r="B228">
        <v>3</v>
      </c>
      <c r="C228" t="s">
        <v>781</v>
      </c>
      <c r="D228" t="s">
        <v>267</v>
      </c>
      <c r="E228" t="s">
        <v>1086</v>
      </c>
      <c r="F228" t="s">
        <v>38</v>
      </c>
      <c r="G228" t="s">
        <v>1086</v>
      </c>
      <c r="I228" t="str">
        <f t="shared" si="3"/>
        <v/>
      </c>
    </row>
    <row r="229" spans="1:9" x14ac:dyDescent="0.2">
      <c r="A229">
        <v>6203982</v>
      </c>
      <c r="B229">
        <v>3</v>
      </c>
      <c r="C229" t="s">
        <v>781</v>
      </c>
      <c r="D229" t="s">
        <v>782</v>
      </c>
      <c r="E229" t="s">
        <v>146</v>
      </c>
      <c r="F229" t="s">
        <v>3</v>
      </c>
      <c r="G229" t="s">
        <v>146</v>
      </c>
      <c r="I229" t="str">
        <f t="shared" si="3"/>
        <v>TP</v>
      </c>
    </row>
    <row r="230" spans="1:9" x14ac:dyDescent="0.2">
      <c r="A230">
        <v>6203982</v>
      </c>
      <c r="B230">
        <v>3</v>
      </c>
      <c r="C230" t="s">
        <v>781</v>
      </c>
      <c r="D230" t="s">
        <v>783</v>
      </c>
      <c r="E230" t="s">
        <v>146</v>
      </c>
      <c r="F230" t="s">
        <v>3</v>
      </c>
      <c r="G230" t="s">
        <v>146</v>
      </c>
      <c r="I230" t="str">
        <f t="shared" si="3"/>
        <v>TP</v>
      </c>
    </row>
    <row r="231" spans="1:9" x14ac:dyDescent="0.2">
      <c r="A231">
        <v>6203982</v>
      </c>
      <c r="B231">
        <v>4</v>
      </c>
      <c r="C231" t="s">
        <v>784</v>
      </c>
      <c r="D231" t="s">
        <v>69</v>
      </c>
      <c r="E231" t="s">
        <v>1086</v>
      </c>
      <c r="F231" t="s">
        <v>38</v>
      </c>
      <c r="G231" t="s">
        <v>1086</v>
      </c>
      <c r="I231" t="str">
        <f t="shared" si="3"/>
        <v/>
      </c>
    </row>
    <row r="232" spans="1:9" x14ac:dyDescent="0.2">
      <c r="A232">
        <v>6203982</v>
      </c>
      <c r="B232">
        <v>4</v>
      </c>
      <c r="C232" t="s">
        <v>784</v>
      </c>
      <c r="D232" t="s">
        <v>785</v>
      </c>
      <c r="E232" t="s">
        <v>562</v>
      </c>
      <c r="F232" t="s">
        <v>3</v>
      </c>
      <c r="G232" t="s">
        <v>146</v>
      </c>
      <c r="H232" t="s">
        <v>1097</v>
      </c>
      <c r="I232" t="str">
        <f t="shared" si="3"/>
        <v/>
      </c>
    </row>
    <row r="233" spans="1:9" x14ac:dyDescent="0.2">
      <c r="A233">
        <v>6203982</v>
      </c>
      <c r="B233">
        <v>4</v>
      </c>
      <c r="C233" t="s">
        <v>784</v>
      </c>
      <c r="D233" t="s">
        <v>786</v>
      </c>
      <c r="E233" t="s">
        <v>146</v>
      </c>
      <c r="F233" t="s">
        <v>3</v>
      </c>
      <c r="G233" t="s">
        <v>146</v>
      </c>
      <c r="I233" t="str">
        <f t="shared" si="3"/>
        <v>TP</v>
      </c>
    </row>
    <row r="234" spans="1:9" x14ac:dyDescent="0.2">
      <c r="A234">
        <v>6203982</v>
      </c>
      <c r="B234">
        <v>4</v>
      </c>
      <c r="C234" t="s">
        <v>784</v>
      </c>
      <c r="D234" t="s">
        <v>787</v>
      </c>
      <c r="E234" t="s">
        <v>146</v>
      </c>
      <c r="F234" t="s">
        <v>3</v>
      </c>
      <c r="G234" t="s">
        <v>146</v>
      </c>
      <c r="I234" t="str">
        <f t="shared" si="3"/>
        <v>TP</v>
      </c>
    </row>
    <row r="235" spans="1:9" x14ac:dyDescent="0.2">
      <c r="A235">
        <v>6203982</v>
      </c>
      <c r="B235">
        <v>5</v>
      </c>
      <c r="C235" t="s">
        <v>788</v>
      </c>
      <c r="D235" t="s">
        <v>57</v>
      </c>
      <c r="E235" t="s">
        <v>1086</v>
      </c>
      <c r="F235" t="s">
        <v>38</v>
      </c>
      <c r="G235" t="s">
        <v>1086</v>
      </c>
      <c r="I235" t="str">
        <f t="shared" si="3"/>
        <v/>
      </c>
    </row>
    <row r="236" spans="1:9" x14ac:dyDescent="0.2">
      <c r="A236">
        <v>6203982</v>
      </c>
      <c r="B236">
        <v>6</v>
      </c>
      <c r="C236" t="s">
        <v>789</v>
      </c>
      <c r="D236" t="s">
        <v>790</v>
      </c>
      <c r="E236" t="s">
        <v>146</v>
      </c>
      <c r="F236" t="s">
        <v>3</v>
      </c>
      <c r="G236" t="s">
        <v>146</v>
      </c>
      <c r="I236" t="str">
        <f t="shared" si="3"/>
        <v>TP</v>
      </c>
    </row>
    <row r="237" spans="1:9" x14ac:dyDescent="0.2">
      <c r="A237">
        <v>6203982</v>
      </c>
      <c r="B237">
        <v>6</v>
      </c>
      <c r="C237" t="s">
        <v>789</v>
      </c>
      <c r="D237" t="s">
        <v>48</v>
      </c>
      <c r="E237" t="s">
        <v>1086</v>
      </c>
      <c r="F237" t="s">
        <v>38</v>
      </c>
      <c r="G237" t="s">
        <v>1086</v>
      </c>
      <c r="I237" t="str">
        <f t="shared" si="3"/>
        <v/>
      </c>
    </row>
    <row r="238" spans="1:9" x14ac:dyDescent="0.2">
      <c r="A238">
        <v>6203982</v>
      </c>
      <c r="B238">
        <v>6</v>
      </c>
      <c r="C238" t="s">
        <v>789</v>
      </c>
      <c r="D238" t="s">
        <v>791</v>
      </c>
      <c r="E238" t="s">
        <v>146</v>
      </c>
      <c r="F238" t="s">
        <v>3</v>
      </c>
      <c r="G238" t="s">
        <v>146</v>
      </c>
      <c r="I238" t="str">
        <f t="shared" si="3"/>
        <v>TP</v>
      </c>
    </row>
    <row r="239" spans="1:9" x14ac:dyDescent="0.2">
      <c r="A239">
        <v>6203982</v>
      </c>
      <c r="B239">
        <v>7</v>
      </c>
      <c r="C239" t="s">
        <v>792</v>
      </c>
      <c r="D239" t="s">
        <v>48</v>
      </c>
      <c r="E239" t="s">
        <v>1086</v>
      </c>
      <c r="F239" t="s">
        <v>38</v>
      </c>
      <c r="G239" t="s">
        <v>1086</v>
      </c>
      <c r="I239" t="str">
        <f t="shared" si="3"/>
        <v/>
      </c>
    </row>
    <row r="240" spans="1:9" x14ac:dyDescent="0.2">
      <c r="A240">
        <v>6203982</v>
      </c>
      <c r="B240">
        <v>7</v>
      </c>
      <c r="C240" t="s">
        <v>792</v>
      </c>
      <c r="D240" t="s">
        <v>793</v>
      </c>
      <c r="E240" t="s">
        <v>1086</v>
      </c>
      <c r="F240" t="s">
        <v>38</v>
      </c>
      <c r="G240" t="s">
        <v>1086</v>
      </c>
      <c r="I240" t="str">
        <f t="shared" si="3"/>
        <v/>
      </c>
    </row>
    <row r="241" spans="1:9" x14ac:dyDescent="0.2">
      <c r="A241">
        <v>6203982</v>
      </c>
      <c r="B241">
        <v>7</v>
      </c>
      <c r="C241" t="s">
        <v>792</v>
      </c>
      <c r="D241" s="10" t="s">
        <v>794</v>
      </c>
      <c r="E241" t="s">
        <v>1086</v>
      </c>
      <c r="F241" t="s">
        <v>38</v>
      </c>
      <c r="G241" t="s">
        <v>1086</v>
      </c>
      <c r="I241" t="str">
        <f t="shared" si="3"/>
        <v/>
      </c>
    </row>
    <row r="242" spans="1:9" x14ac:dyDescent="0.2">
      <c r="A242">
        <v>6203982</v>
      </c>
      <c r="B242">
        <v>8</v>
      </c>
      <c r="C242" t="s">
        <v>795</v>
      </c>
      <c r="D242" t="s">
        <v>796</v>
      </c>
      <c r="E242" t="s">
        <v>146</v>
      </c>
      <c r="F242" t="s">
        <v>3</v>
      </c>
      <c r="G242" t="s">
        <v>146</v>
      </c>
      <c r="H242" t="s">
        <v>1098</v>
      </c>
      <c r="I242" t="str">
        <f t="shared" si="3"/>
        <v>TP</v>
      </c>
    </row>
    <row r="243" spans="1:9" x14ac:dyDescent="0.2">
      <c r="A243">
        <v>6203982</v>
      </c>
      <c r="B243">
        <v>9</v>
      </c>
      <c r="C243" t="s">
        <v>797</v>
      </c>
      <c r="D243" t="s">
        <v>798</v>
      </c>
      <c r="E243" t="s">
        <v>1086</v>
      </c>
      <c r="F243" t="s">
        <v>38</v>
      </c>
      <c r="G243" t="s">
        <v>1086</v>
      </c>
      <c r="I243" t="str">
        <f t="shared" si="3"/>
        <v/>
      </c>
    </row>
    <row r="244" spans="1:9" x14ac:dyDescent="0.2">
      <c r="A244">
        <v>6403518</v>
      </c>
      <c r="B244">
        <v>0</v>
      </c>
      <c r="C244" t="s">
        <v>799</v>
      </c>
      <c r="D244" t="s">
        <v>800</v>
      </c>
      <c r="E244" t="s">
        <v>146</v>
      </c>
      <c r="F244" t="s">
        <v>3</v>
      </c>
      <c r="G244" t="s">
        <v>146</v>
      </c>
      <c r="I244" t="str">
        <f t="shared" si="3"/>
        <v>TP</v>
      </c>
    </row>
    <row r="245" spans="1:9" x14ac:dyDescent="0.2">
      <c r="A245">
        <v>6403518</v>
      </c>
      <c r="B245">
        <v>1</v>
      </c>
      <c r="C245" t="s">
        <v>801</v>
      </c>
      <c r="I245" t="str">
        <f t="shared" si="3"/>
        <v/>
      </c>
    </row>
    <row r="246" spans="1:9" x14ac:dyDescent="0.2">
      <c r="A246">
        <v>6403518</v>
      </c>
      <c r="B246">
        <v>2</v>
      </c>
      <c r="C246" t="s">
        <v>802</v>
      </c>
      <c r="D246" t="s">
        <v>803</v>
      </c>
      <c r="E246" t="s">
        <v>146</v>
      </c>
      <c r="F246" t="s">
        <v>3</v>
      </c>
      <c r="G246" t="s">
        <v>146</v>
      </c>
      <c r="H246" t="s">
        <v>1099</v>
      </c>
      <c r="I246" t="str">
        <f t="shared" si="3"/>
        <v>TP</v>
      </c>
    </row>
    <row r="247" spans="1:9" x14ac:dyDescent="0.2">
      <c r="A247">
        <v>6403518</v>
      </c>
      <c r="B247">
        <v>2</v>
      </c>
      <c r="C247" t="s">
        <v>802</v>
      </c>
      <c r="D247" t="s">
        <v>804</v>
      </c>
      <c r="E247" t="s">
        <v>146</v>
      </c>
      <c r="F247" t="s">
        <v>3</v>
      </c>
      <c r="G247" t="s">
        <v>146</v>
      </c>
      <c r="H247" t="s">
        <v>1100</v>
      </c>
      <c r="I247" t="str">
        <f t="shared" si="3"/>
        <v>TP</v>
      </c>
    </row>
    <row r="248" spans="1:9" x14ac:dyDescent="0.2">
      <c r="A248">
        <v>6403518</v>
      </c>
      <c r="B248">
        <v>3</v>
      </c>
      <c r="C248" t="s">
        <v>805</v>
      </c>
      <c r="D248" t="s">
        <v>806</v>
      </c>
      <c r="E248" t="s">
        <v>146</v>
      </c>
      <c r="F248" t="s">
        <v>3</v>
      </c>
      <c r="G248" t="s">
        <v>146</v>
      </c>
      <c r="I248" t="str">
        <f t="shared" si="3"/>
        <v>TP</v>
      </c>
    </row>
    <row r="249" spans="1:9" x14ac:dyDescent="0.2">
      <c r="A249">
        <v>6403518</v>
      </c>
      <c r="B249">
        <v>4</v>
      </c>
      <c r="C249" t="s">
        <v>354</v>
      </c>
      <c r="I249" t="str">
        <f t="shared" si="3"/>
        <v/>
      </c>
    </row>
    <row r="250" spans="1:9" x14ac:dyDescent="0.2">
      <c r="A250">
        <v>6403518</v>
      </c>
      <c r="B250">
        <v>5</v>
      </c>
      <c r="C250" t="s">
        <v>807</v>
      </c>
      <c r="I250" t="str">
        <f t="shared" si="3"/>
        <v/>
      </c>
    </row>
    <row r="251" spans="1:9" x14ac:dyDescent="0.2">
      <c r="A251">
        <v>6403518</v>
      </c>
      <c r="B251">
        <v>6</v>
      </c>
      <c r="C251" t="s">
        <v>808</v>
      </c>
      <c r="I251" t="str">
        <f t="shared" si="3"/>
        <v/>
      </c>
    </row>
    <row r="252" spans="1:9" x14ac:dyDescent="0.2">
      <c r="A252">
        <v>6403518</v>
      </c>
      <c r="B252">
        <v>7</v>
      </c>
      <c r="C252" t="s">
        <v>809</v>
      </c>
      <c r="D252" t="s">
        <v>295</v>
      </c>
      <c r="E252" t="s">
        <v>146</v>
      </c>
      <c r="F252" t="s">
        <v>3</v>
      </c>
      <c r="G252" t="s">
        <v>146</v>
      </c>
      <c r="H252" t="s">
        <v>1101</v>
      </c>
      <c r="I252" t="str">
        <f t="shared" si="3"/>
        <v>TP</v>
      </c>
    </row>
    <row r="253" spans="1:9" x14ac:dyDescent="0.2">
      <c r="A253">
        <v>6403518</v>
      </c>
      <c r="B253">
        <v>7</v>
      </c>
      <c r="C253" t="s">
        <v>809</v>
      </c>
      <c r="D253" t="s">
        <v>279</v>
      </c>
      <c r="E253" t="s">
        <v>146</v>
      </c>
      <c r="F253" t="s">
        <v>3</v>
      </c>
      <c r="G253" t="s">
        <v>146</v>
      </c>
      <c r="H253" t="s">
        <v>1102</v>
      </c>
      <c r="I253" t="str">
        <f t="shared" si="3"/>
        <v>TP</v>
      </c>
    </row>
    <row r="254" spans="1:9" x14ac:dyDescent="0.2">
      <c r="A254">
        <v>6403518</v>
      </c>
      <c r="B254">
        <v>8</v>
      </c>
      <c r="C254" t="s">
        <v>810</v>
      </c>
      <c r="I254" t="str">
        <f t="shared" si="3"/>
        <v/>
      </c>
    </row>
    <row r="255" spans="1:9" x14ac:dyDescent="0.2">
      <c r="A255">
        <v>6403518</v>
      </c>
      <c r="B255">
        <v>9</v>
      </c>
      <c r="C255" t="s">
        <v>811</v>
      </c>
      <c r="I255" t="str">
        <f t="shared" si="3"/>
        <v/>
      </c>
    </row>
    <row r="256" spans="1:9" x14ac:dyDescent="0.2">
      <c r="A256">
        <v>6403518</v>
      </c>
      <c r="B256">
        <v>10</v>
      </c>
      <c r="C256" t="s">
        <v>812</v>
      </c>
      <c r="D256" t="s">
        <v>813</v>
      </c>
      <c r="E256" t="s">
        <v>146</v>
      </c>
      <c r="F256" t="s">
        <v>44</v>
      </c>
      <c r="G256" t="s">
        <v>146</v>
      </c>
      <c r="I256" t="str">
        <f t="shared" si="3"/>
        <v>TP</v>
      </c>
    </row>
    <row r="257" spans="1:9" x14ac:dyDescent="0.2">
      <c r="A257">
        <v>6403518</v>
      </c>
      <c r="B257">
        <v>10</v>
      </c>
      <c r="C257" t="s">
        <v>812</v>
      </c>
      <c r="D257" t="s">
        <v>814</v>
      </c>
      <c r="E257" t="s">
        <v>146</v>
      </c>
      <c r="F257" t="s">
        <v>44</v>
      </c>
      <c r="G257" t="s">
        <v>146</v>
      </c>
      <c r="I257" t="str">
        <f t="shared" si="3"/>
        <v>TP</v>
      </c>
    </row>
    <row r="258" spans="1:9" x14ac:dyDescent="0.2">
      <c r="A258">
        <v>6403518</v>
      </c>
      <c r="B258">
        <v>11</v>
      </c>
      <c r="C258" t="s">
        <v>815</v>
      </c>
      <c r="D258" t="s">
        <v>519</v>
      </c>
      <c r="E258" t="s">
        <v>146</v>
      </c>
      <c r="F258" t="s">
        <v>44</v>
      </c>
      <c r="G258" t="s">
        <v>146</v>
      </c>
      <c r="I258" t="str">
        <f t="shared" ref="I258:I321" si="4">IF(OR(E258="FP",G258="FP"),"FP",IF(AND(E258="TP",E258="TP"),"TP",""))</f>
        <v>TP</v>
      </c>
    </row>
    <row r="259" spans="1:9" x14ac:dyDescent="0.2">
      <c r="A259">
        <v>6403518</v>
      </c>
      <c r="B259">
        <v>11</v>
      </c>
      <c r="C259" t="s">
        <v>815</v>
      </c>
      <c r="D259" t="s">
        <v>816</v>
      </c>
      <c r="E259" t="s">
        <v>146</v>
      </c>
      <c r="F259" t="s">
        <v>44</v>
      </c>
      <c r="G259" t="s">
        <v>146</v>
      </c>
      <c r="I259" t="str">
        <f t="shared" si="4"/>
        <v>TP</v>
      </c>
    </row>
    <row r="260" spans="1:9" x14ac:dyDescent="0.2">
      <c r="A260">
        <v>6403518</v>
      </c>
      <c r="B260">
        <v>11</v>
      </c>
      <c r="C260" t="s">
        <v>815</v>
      </c>
      <c r="D260" t="s">
        <v>817</v>
      </c>
      <c r="E260" t="s">
        <v>146</v>
      </c>
      <c r="F260" t="s">
        <v>44</v>
      </c>
      <c r="G260" t="s">
        <v>146</v>
      </c>
      <c r="I260" t="str">
        <f t="shared" si="4"/>
        <v>TP</v>
      </c>
    </row>
    <row r="261" spans="1:9" x14ac:dyDescent="0.2">
      <c r="A261">
        <v>6403518</v>
      </c>
      <c r="B261">
        <v>11</v>
      </c>
      <c r="C261" t="s">
        <v>815</v>
      </c>
      <c r="D261" t="s">
        <v>818</v>
      </c>
      <c r="E261" t="s">
        <v>146</v>
      </c>
      <c r="F261" t="s">
        <v>44</v>
      </c>
      <c r="G261" t="s">
        <v>146</v>
      </c>
      <c r="I261" t="str">
        <f t="shared" si="4"/>
        <v>TP</v>
      </c>
    </row>
    <row r="262" spans="1:9" x14ac:dyDescent="0.2">
      <c r="A262">
        <v>6403518</v>
      </c>
      <c r="B262">
        <v>12</v>
      </c>
      <c r="C262" t="s">
        <v>819</v>
      </c>
      <c r="I262" t="str">
        <f t="shared" si="4"/>
        <v/>
      </c>
    </row>
    <row r="263" spans="1:9" x14ac:dyDescent="0.2">
      <c r="A263">
        <v>6403518</v>
      </c>
      <c r="B263">
        <v>13</v>
      </c>
      <c r="C263" t="s">
        <v>820</v>
      </c>
      <c r="D263" t="s">
        <v>806</v>
      </c>
      <c r="E263" t="s">
        <v>146</v>
      </c>
      <c r="F263" t="s">
        <v>3</v>
      </c>
      <c r="G263" t="s">
        <v>146</v>
      </c>
      <c r="I263" t="str">
        <f t="shared" si="4"/>
        <v>TP</v>
      </c>
    </row>
    <row r="264" spans="1:9" x14ac:dyDescent="0.2">
      <c r="A264">
        <v>7534477</v>
      </c>
      <c r="B264">
        <v>0</v>
      </c>
      <c r="C264" t="s">
        <v>821</v>
      </c>
      <c r="D264" t="s">
        <v>312</v>
      </c>
      <c r="E264" t="s">
        <v>1086</v>
      </c>
      <c r="F264" t="s">
        <v>38</v>
      </c>
      <c r="G264" t="s">
        <v>1086</v>
      </c>
      <c r="I264" t="str">
        <f t="shared" si="4"/>
        <v/>
      </c>
    </row>
    <row r="265" spans="1:9" x14ac:dyDescent="0.2">
      <c r="A265">
        <v>7534477</v>
      </c>
      <c r="B265">
        <v>0</v>
      </c>
      <c r="C265" t="s">
        <v>821</v>
      </c>
      <c r="D265" t="s">
        <v>822</v>
      </c>
      <c r="E265" t="s">
        <v>146</v>
      </c>
      <c r="F265" t="s">
        <v>44</v>
      </c>
      <c r="G265" t="s">
        <v>146</v>
      </c>
      <c r="I265" t="str">
        <f t="shared" si="4"/>
        <v>TP</v>
      </c>
    </row>
    <row r="266" spans="1:9" x14ac:dyDescent="0.2">
      <c r="A266">
        <v>7534477</v>
      </c>
      <c r="B266">
        <v>0</v>
      </c>
      <c r="C266" t="s">
        <v>821</v>
      </c>
      <c r="D266" t="s">
        <v>823</v>
      </c>
      <c r="E266" t="s">
        <v>146</v>
      </c>
      <c r="F266" t="s">
        <v>44</v>
      </c>
      <c r="G266" t="s">
        <v>146</v>
      </c>
      <c r="I266" t="str">
        <f t="shared" si="4"/>
        <v>TP</v>
      </c>
    </row>
    <row r="267" spans="1:9" x14ac:dyDescent="0.2">
      <c r="A267">
        <v>7534477</v>
      </c>
      <c r="B267">
        <v>0</v>
      </c>
      <c r="C267" t="s">
        <v>821</v>
      </c>
      <c r="D267" t="s">
        <v>824</v>
      </c>
      <c r="E267" t="s">
        <v>146</v>
      </c>
      <c r="F267" t="s">
        <v>44</v>
      </c>
      <c r="G267" t="s">
        <v>146</v>
      </c>
      <c r="I267" t="str">
        <f t="shared" si="4"/>
        <v>TP</v>
      </c>
    </row>
    <row r="268" spans="1:9" x14ac:dyDescent="0.2">
      <c r="A268">
        <v>7534477</v>
      </c>
      <c r="B268">
        <v>0</v>
      </c>
      <c r="C268" t="s">
        <v>821</v>
      </c>
      <c r="D268" t="s">
        <v>825</v>
      </c>
      <c r="E268" t="s">
        <v>146</v>
      </c>
      <c r="F268" t="s">
        <v>44</v>
      </c>
      <c r="G268" t="s">
        <v>146</v>
      </c>
      <c r="I268" t="str">
        <f t="shared" si="4"/>
        <v>TP</v>
      </c>
    </row>
    <row r="269" spans="1:9" x14ac:dyDescent="0.2">
      <c r="A269">
        <v>7534477</v>
      </c>
      <c r="B269">
        <v>0</v>
      </c>
      <c r="C269" t="s">
        <v>821</v>
      </c>
      <c r="D269" t="s">
        <v>826</v>
      </c>
      <c r="E269" t="s">
        <v>146</v>
      </c>
      <c r="F269" t="s">
        <v>44</v>
      </c>
      <c r="G269" t="s">
        <v>146</v>
      </c>
      <c r="I269" t="str">
        <f t="shared" si="4"/>
        <v>TP</v>
      </c>
    </row>
    <row r="270" spans="1:9" x14ac:dyDescent="0.2">
      <c r="A270">
        <v>7534477</v>
      </c>
      <c r="B270">
        <v>1</v>
      </c>
      <c r="C270" t="s">
        <v>827</v>
      </c>
      <c r="D270" t="s">
        <v>227</v>
      </c>
      <c r="E270" t="s">
        <v>146</v>
      </c>
      <c r="F270" t="s">
        <v>61</v>
      </c>
      <c r="G270" t="s">
        <v>146</v>
      </c>
      <c r="I270" t="str">
        <f t="shared" si="4"/>
        <v>TP</v>
      </c>
    </row>
    <row r="271" spans="1:9" x14ac:dyDescent="0.2">
      <c r="A271">
        <v>7534477</v>
      </c>
      <c r="B271">
        <v>1</v>
      </c>
      <c r="C271" t="s">
        <v>827</v>
      </c>
      <c r="D271" t="s">
        <v>122</v>
      </c>
      <c r="E271" t="s">
        <v>146</v>
      </c>
      <c r="F271" t="s">
        <v>61</v>
      </c>
      <c r="G271" t="s">
        <v>146</v>
      </c>
      <c r="I271" t="str">
        <f t="shared" si="4"/>
        <v>TP</v>
      </c>
    </row>
    <row r="272" spans="1:9" x14ac:dyDescent="0.2">
      <c r="A272">
        <v>7534477</v>
      </c>
      <c r="B272">
        <v>1</v>
      </c>
      <c r="C272" t="s">
        <v>827</v>
      </c>
      <c r="D272" t="s">
        <v>828</v>
      </c>
      <c r="E272" t="s">
        <v>1086</v>
      </c>
      <c r="F272" t="s">
        <v>38</v>
      </c>
      <c r="G272" t="s">
        <v>1086</v>
      </c>
      <c r="I272" t="str">
        <f t="shared" si="4"/>
        <v/>
      </c>
    </row>
    <row r="273" spans="1:9" x14ac:dyDescent="0.2">
      <c r="A273">
        <v>7534477</v>
      </c>
      <c r="B273">
        <v>2</v>
      </c>
      <c r="C273" t="s">
        <v>829</v>
      </c>
      <c r="D273" t="s">
        <v>830</v>
      </c>
      <c r="E273" t="s">
        <v>146</v>
      </c>
      <c r="F273" t="s">
        <v>44</v>
      </c>
      <c r="G273" t="s">
        <v>146</v>
      </c>
      <c r="I273" t="str">
        <f t="shared" si="4"/>
        <v>TP</v>
      </c>
    </row>
    <row r="274" spans="1:9" x14ac:dyDescent="0.2">
      <c r="A274">
        <v>7534477</v>
      </c>
      <c r="B274">
        <v>2</v>
      </c>
      <c r="C274" t="s">
        <v>829</v>
      </c>
      <c r="D274" t="s">
        <v>831</v>
      </c>
      <c r="E274" t="s">
        <v>146</v>
      </c>
      <c r="F274" t="s">
        <v>99</v>
      </c>
      <c r="G274" t="s">
        <v>146</v>
      </c>
      <c r="I274" t="str">
        <f t="shared" si="4"/>
        <v>TP</v>
      </c>
    </row>
    <row r="275" spans="1:9" x14ac:dyDescent="0.2">
      <c r="A275">
        <v>7534477</v>
      </c>
      <c r="B275">
        <v>2</v>
      </c>
      <c r="C275" t="s">
        <v>829</v>
      </c>
      <c r="D275" t="s">
        <v>832</v>
      </c>
      <c r="E275" t="s">
        <v>146</v>
      </c>
      <c r="F275" t="s">
        <v>61</v>
      </c>
      <c r="G275" t="s">
        <v>146</v>
      </c>
      <c r="I275" t="str">
        <f t="shared" si="4"/>
        <v>TP</v>
      </c>
    </row>
    <row r="276" spans="1:9" x14ac:dyDescent="0.2">
      <c r="A276">
        <v>7534477</v>
      </c>
      <c r="B276">
        <v>2</v>
      </c>
      <c r="C276" t="s">
        <v>829</v>
      </c>
      <c r="D276" t="s">
        <v>833</v>
      </c>
      <c r="E276" t="s">
        <v>146</v>
      </c>
      <c r="F276" t="s">
        <v>44</v>
      </c>
      <c r="G276" t="s">
        <v>146</v>
      </c>
      <c r="I276" t="str">
        <f t="shared" si="4"/>
        <v>TP</v>
      </c>
    </row>
    <row r="277" spans="1:9" x14ac:dyDescent="0.2">
      <c r="A277">
        <v>7534477</v>
      </c>
      <c r="B277">
        <v>2</v>
      </c>
      <c r="C277" t="s">
        <v>829</v>
      </c>
      <c r="D277" t="s">
        <v>834</v>
      </c>
      <c r="E277" t="s">
        <v>146</v>
      </c>
      <c r="F277" t="s">
        <v>44</v>
      </c>
      <c r="G277" t="s">
        <v>146</v>
      </c>
      <c r="I277" t="str">
        <f t="shared" si="4"/>
        <v>TP</v>
      </c>
    </row>
    <row r="278" spans="1:9" x14ac:dyDescent="0.2">
      <c r="A278">
        <v>7534477</v>
      </c>
      <c r="B278">
        <v>3</v>
      </c>
      <c r="C278" t="s">
        <v>835</v>
      </c>
      <c r="D278" t="s">
        <v>836</v>
      </c>
      <c r="E278" t="s">
        <v>167</v>
      </c>
      <c r="F278" t="s">
        <v>44</v>
      </c>
      <c r="G278" t="s">
        <v>167</v>
      </c>
      <c r="I278" t="str">
        <f t="shared" si="4"/>
        <v>FP</v>
      </c>
    </row>
    <row r="279" spans="1:9" x14ac:dyDescent="0.2">
      <c r="A279">
        <v>7534477</v>
      </c>
      <c r="B279">
        <v>3</v>
      </c>
      <c r="C279" t="s">
        <v>835</v>
      </c>
      <c r="D279" t="s">
        <v>837</v>
      </c>
      <c r="E279" t="s">
        <v>1086</v>
      </c>
      <c r="F279" t="s">
        <v>38</v>
      </c>
      <c r="G279" t="s">
        <v>1086</v>
      </c>
      <c r="I279" t="str">
        <f t="shared" si="4"/>
        <v/>
      </c>
    </row>
    <row r="280" spans="1:9" x14ac:dyDescent="0.2">
      <c r="A280">
        <v>7534477</v>
      </c>
      <c r="B280">
        <v>3</v>
      </c>
      <c r="C280" t="s">
        <v>835</v>
      </c>
      <c r="D280" t="s">
        <v>519</v>
      </c>
      <c r="E280" t="s">
        <v>562</v>
      </c>
      <c r="F280" t="s">
        <v>44</v>
      </c>
      <c r="G280" t="s">
        <v>167</v>
      </c>
      <c r="H280" t="s">
        <v>1103</v>
      </c>
      <c r="I280" t="s">
        <v>167</v>
      </c>
    </row>
    <row r="281" spans="1:9" x14ac:dyDescent="0.2">
      <c r="A281">
        <v>7534477</v>
      </c>
      <c r="B281">
        <v>3</v>
      </c>
      <c r="C281" t="s">
        <v>835</v>
      </c>
      <c r="D281" t="s">
        <v>838</v>
      </c>
      <c r="E281" t="s">
        <v>146</v>
      </c>
      <c r="F281" t="s">
        <v>44</v>
      </c>
      <c r="G281" t="s">
        <v>146</v>
      </c>
      <c r="I281" t="str">
        <f t="shared" si="4"/>
        <v>TP</v>
      </c>
    </row>
    <row r="282" spans="1:9" x14ac:dyDescent="0.2">
      <c r="A282">
        <v>7534477</v>
      </c>
      <c r="B282">
        <v>4</v>
      </c>
      <c r="C282" t="s">
        <v>839</v>
      </c>
      <c r="D282" t="s">
        <v>830</v>
      </c>
      <c r="E282" t="s">
        <v>146</v>
      </c>
      <c r="F282" t="s">
        <v>44</v>
      </c>
      <c r="G282" t="s">
        <v>146</v>
      </c>
      <c r="I282" t="str">
        <f t="shared" si="4"/>
        <v>TP</v>
      </c>
    </row>
    <row r="283" spans="1:9" x14ac:dyDescent="0.2">
      <c r="A283">
        <v>7534477</v>
      </c>
      <c r="B283">
        <v>4</v>
      </c>
      <c r="C283" t="s">
        <v>839</v>
      </c>
      <c r="D283" t="s">
        <v>840</v>
      </c>
      <c r="E283" t="s">
        <v>146</v>
      </c>
      <c r="F283" t="s">
        <v>99</v>
      </c>
      <c r="G283" t="s">
        <v>146</v>
      </c>
      <c r="I283" t="str">
        <f t="shared" si="4"/>
        <v>TP</v>
      </c>
    </row>
    <row r="284" spans="1:9" x14ac:dyDescent="0.2">
      <c r="A284">
        <v>7534477</v>
      </c>
      <c r="B284">
        <v>4</v>
      </c>
      <c r="C284" t="s">
        <v>839</v>
      </c>
      <c r="D284" t="s">
        <v>832</v>
      </c>
      <c r="E284" t="s">
        <v>146</v>
      </c>
      <c r="F284" t="s">
        <v>61</v>
      </c>
      <c r="G284" t="s">
        <v>146</v>
      </c>
      <c r="I284" t="str">
        <f t="shared" si="4"/>
        <v>TP</v>
      </c>
    </row>
    <row r="285" spans="1:9" x14ac:dyDescent="0.2">
      <c r="A285">
        <v>7534477</v>
      </c>
      <c r="B285">
        <v>4</v>
      </c>
      <c r="C285" t="s">
        <v>839</v>
      </c>
      <c r="D285" t="s">
        <v>834</v>
      </c>
      <c r="E285" t="s">
        <v>146</v>
      </c>
      <c r="F285" t="s">
        <v>44</v>
      </c>
      <c r="G285" t="s">
        <v>146</v>
      </c>
      <c r="I285" t="str">
        <f t="shared" si="4"/>
        <v>TP</v>
      </c>
    </row>
    <row r="286" spans="1:9" x14ac:dyDescent="0.2">
      <c r="A286">
        <v>7534477</v>
      </c>
      <c r="B286">
        <v>4</v>
      </c>
      <c r="C286" t="s">
        <v>839</v>
      </c>
      <c r="D286" t="s">
        <v>833</v>
      </c>
      <c r="E286" t="s">
        <v>146</v>
      </c>
      <c r="F286" t="s">
        <v>44</v>
      </c>
      <c r="G286" t="s">
        <v>146</v>
      </c>
      <c r="I286" t="str">
        <f t="shared" si="4"/>
        <v>TP</v>
      </c>
    </row>
    <row r="287" spans="1:9" x14ac:dyDescent="0.2">
      <c r="A287">
        <v>7534477</v>
      </c>
      <c r="B287">
        <v>5</v>
      </c>
      <c r="C287" t="s">
        <v>841</v>
      </c>
      <c r="D287" t="s">
        <v>842</v>
      </c>
      <c r="E287" t="s">
        <v>146</v>
      </c>
      <c r="F287" t="s">
        <v>99</v>
      </c>
      <c r="G287" t="s">
        <v>146</v>
      </c>
      <c r="I287" t="str">
        <f t="shared" si="4"/>
        <v>TP</v>
      </c>
    </row>
    <row r="288" spans="1:9" x14ac:dyDescent="0.2">
      <c r="A288">
        <v>7534477</v>
      </c>
      <c r="B288">
        <v>5</v>
      </c>
      <c r="C288" t="s">
        <v>841</v>
      </c>
      <c r="D288" t="s">
        <v>843</v>
      </c>
      <c r="E288" t="s">
        <v>146</v>
      </c>
      <c r="F288" t="s">
        <v>44</v>
      </c>
      <c r="G288" t="s">
        <v>146</v>
      </c>
      <c r="I288" t="str">
        <f t="shared" si="4"/>
        <v>TP</v>
      </c>
    </row>
    <row r="289" spans="1:9" x14ac:dyDescent="0.2">
      <c r="A289">
        <v>7534477</v>
      </c>
      <c r="B289">
        <v>5</v>
      </c>
      <c r="C289" t="s">
        <v>841</v>
      </c>
      <c r="D289" t="s">
        <v>844</v>
      </c>
      <c r="E289" t="s">
        <v>146</v>
      </c>
      <c r="F289" t="s">
        <v>44</v>
      </c>
      <c r="G289" t="s">
        <v>146</v>
      </c>
      <c r="I289" t="str">
        <f t="shared" si="4"/>
        <v>TP</v>
      </c>
    </row>
    <row r="290" spans="1:9" x14ac:dyDescent="0.2">
      <c r="A290">
        <v>7534477</v>
      </c>
      <c r="B290">
        <v>5</v>
      </c>
      <c r="C290" t="s">
        <v>841</v>
      </c>
      <c r="D290" t="s">
        <v>1104</v>
      </c>
      <c r="E290" t="s">
        <v>146</v>
      </c>
      <c r="F290" t="s">
        <v>99</v>
      </c>
      <c r="G290" t="s">
        <v>146</v>
      </c>
      <c r="I290" t="str">
        <f t="shared" si="4"/>
        <v>TP</v>
      </c>
    </row>
    <row r="291" spans="1:9" x14ac:dyDescent="0.2">
      <c r="A291">
        <v>7534477</v>
      </c>
      <c r="B291">
        <v>6</v>
      </c>
      <c r="C291" t="s">
        <v>845</v>
      </c>
      <c r="D291" t="s">
        <v>836</v>
      </c>
      <c r="E291" t="s">
        <v>167</v>
      </c>
      <c r="F291" t="s">
        <v>44</v>
      </c>
      <c r="G291" t="s">
        <v>167</v>
      </c>
      <c r="I291" t="str">
        <f t="shared" si="4"/>
        <v>FP</v>
      </c>
    </row>
    <row r="292" spans="1:9" x14ac:dyDescent="0.2">
      <c r="A292">
        <v>7534477</v>
      </c>
      <c r="B292">
        <v>6</v>
      </c>
      <c r="C292" t="s">
        <v>845</v>
      </c>
      <c r="D292" t="s">
        <v>840</v>
      </c>
      <c r="E292" t="s">
        <v>146</v>
      </c>
      <c r="F292" t="s">
        <v>99</v>
      </c>
      <c r="G292" t="s">
        <v>146</v>
      </c>
      <c r="I292" t="str">
        <f t="shared" si="4"/>
        <v>TP</v>
      </c>
    </row>
    <row r="293" spans="1:9" x14ac:dyDescent="0.2">
      <c r="A293">
        <v>7534477</v>
      </c>
      <c r="B293">
        <v>6</v>
      </c>
      <c r="C293" t="s">
        <v>845</v>
      </c>
      <c r="D293" t="s">
        <v>846</v>
      </c>
      <c r="E293" t="s">
        <v>146</v>
      </c>
      <c r="F293" t="s">
        <v>99</v>
      </c>
      <c r="G293" t="s">
        <v>146</v>
      </c>
      <c r="I293" t="str">
        <f t="shared" si="4"/>
        <v>TP</v>
      </c>
    </row>
    <row r="294" spans="1:9" x14ac:dyDescent="0.2">
      <c r="A294">
        <v>7534477</v>
      </c>
      <c r="B294">
        <v>6</v>
      </c>
      <c r="C294" t="s">
        <v>845</v>
      </c>
      <c r="D294" t="s">
        <v>847</v>
      </c>
      <c r="E294" t="s">
        <v>146</v>
      </c>
      <c r="F294" t="s">
        <v>44</v>
      </c>
      <c r="G294" t="s">
        <v>146</v>
      </c>
      <c r="I294" t="str">
        <f t="shared" si="4"/>
        <v>TP</v>
      </c>
    </row>
    <row r="295" spans="1:9" x14ac:dyDescent="0.2">
      <c r="A295">
        <v>7534477</v>
      </c>
      <c r="B295">
        <v>7</v>
      </c>
      <c r="C295" t="s">
        <v>848</v>
      </c>
      <c r="D295" t="s">
        <v>849</v>
      </c>
      <c r="E295" t="s">
        <v>146</v>
      </c>
      <c r="F295" t="s">
        <v>61</v>
      </c>
      <c r="G295" t="s">
        <v>146</v>
      </c>
      <c r="I295" t="str">
        <f t="shared" si="4"/>
        <v>TP</v>
      </c>
    </row>
    <row r="296" spans="1:9" x14ac:dyDescent="0.2">
      <c r="A296">
        <v>7534477</v>
      </c>
      <c r="B296">
        <v>7</v>
      </c>
      <c r="C296" t="s">
        <v>848</v>
      </c>
      <c r="D296" t="s">
        <v>850</v>
      </c>
      <c r="E296" t="s">
        <v>1086</v>
      </c>
      <c r="F296" t="s">
        <v>38</v>
      </c>
      <c r="G296" t="s">
        <v>1086</v>
      </c>
      <c r="I296" t="str">
        <f t="shared" si="4"/>
        <v/>
      </c>
    </row>
    <row r="297" spans="1:9" x14ac:dyDescent="0.2">
      <c r="A297">
        <v>7534477</v>
      </c>
      <c r="B297">
        <v>8</v>
      </c>
      <c r="C297" t="s">
        <v>851</v>
      </c>
      <c r="D297" t="s">
        <v>852</v>
      </c>
      <c r="E297" t="s">
        <v>167</v>
      </c>
      <c r="F297" t="s">
        <v>44</v>
      </c>
      <c r="G297" t="s">
        <v>167</v>
      </c>
      <c r="I297" t="str">
        <f t="shared" si="4"/>
        <v>FP</v>
      </c>
    </row>
    <row r="298" spans="1:9" x14ac:dyDescent="0.2">
      <c r="A298">
        <v>7534477</v>
      </c>
      <c r="B298">
        <v>8</v>
      </c>
      <c r="C298" t="s">
        <v>851</v>
      </c>
      <c r="D298" t="s">
        <v>853</v>
      </c>
      <c r="E298" t="s">
        <v>146</v>
      </c>
      <c r="F298" t="s">
        <v>44</v>
      </c>
      <c r="G298" t="s">
        <v>146</v>
      </c>
      <c r="I298" t="str">
        <f t="shared" si="4"/>
        <v>TP</v>
      </c>
    </row>
    <row r="299" spans="1:9" x14ac:dyDescent="0.2">
      <c r="A299">
        <v>7534477</v>
      </c>
      <c r="B299">
        <v>8</v>
      </c>
      <c r="C299" t="s">
        <v>851</v>
      </c>
      <c r="D299" t="s">
        <v>854</v>
      </c>
      <c r="E299" t="s">
        <v>146</v>
      </c>
      <c r="F299" t="s">
        <v>99</v>
      </c>
      <c r="G299" t="s">
        <v>146</v>
      </c>
      <c r="I299" t="str">
        <f t="shared" si="4"/>
        <v>TP</v>
      </c>
    </row>
    <row r="300" spans="1:9" x14ac:dyDescent="0.2">
      <c r="A300">
        <v>7534477</v>
      </c>
      <c r="B300">
        <v>8</v>
      </c>
      <c r="C300" t="s">
        <v>851</v>
      </c>
      <c r="D300" t="s">
        <v>855</v>
      </c>
      <c r="E300" t="s">
        <v>146</v>
      </c>
      <c r="F300" t="s">
        <v>99</v>
      </c>
      <c r="G300" t="s">
        <v>146</v>
      </c>
      <c r="I300" t="str">
        <f t="shared" si="4"/>
        <v>TP</v>
      </c>
    </row>
    <row r="301" spans="1:9" x14ac:dyDescent="0.2">
      <c r="A301">
        <v>7534477</v>
      </c>
      <c r="B301">
        <v>9</v>
      </c>
      <c r="C301" t="s">
        <v>856</v>
      </c>
      <c r="D301" t="s">
        <v>857</v>
      </c>
      <c r="E301" t="s">
        <v>1086</v>
      </c>
      <c r="F301" t="s">
        <v>44</v>
      </c>
      <c r="G301" t="s">
        <v>1086</v>
      </c>
      <c r="I301" t="str">
        <f t="shared" si="4"/>
        <v/>
      </c>
    </row>
    <row r="302" spans="1:9" x14ac:dyDescent="0.2">
      <c r="A302">
        <v>7534477</v>
      </c>
      <c r="B302">
        <v>10</v>
      </c>
      <c r="C302" t="s">
        <v>858</v>
      </c>
      <c r="D302" t="s">
        <v>842</v>
      </c>
      <c r="E302" t="s">
        <v>146</v>
      </c>
      <c r="F302" t="s">
        <v>99</v>
      </c>
      <c r="G302" t="s">
        <v>146</v>
      </c>
      <c r="I302" t="str">
        <f t="shared" si="4"/>
        <v>TP</v>
      </c>
    </row>
    <row r="303" spans="1:9" x14ac:dyDescent="0.2">
      <c r="A303">
        <v>7534477</v>
      </c>
      <c r="B303">
        <v>10</v>
      </c>
      <c r="C303" t="s">
        <v>858</v>
      </c>
      <c r="D303" t="s">
        <v>840</v>
      </c>
      <c r="E303" t="s">
        <v>146</v>
      </c>
      <c r="F303" t="s">
        <v>99</v>
      </c>
      <c r="G303" t="s">
        <v>146</v>
      </c>
      <c r="I303" t="str">
        <f t="shared" si="4"/>
        <v>TP</v>
      </c>
    </row>
    <row r="304" spans="1:9" x14ac:dyDescent="0.2">
      <c r="A304">
        <v>7534477</v>
      </c>
      <c r="B304">
        <v>10</v>
      </c>
      <c r="C304" t="s">
        <v>858</v>
      </c>
      <c r="D304" t="s">
        <v>130</v>
      </c>
      <c r="E304" t="s">
        <v>146</v>
      </c>
      <c r="F304" t="s">
        <v>44</v>
      </c>
      <c r="G304" t="s">
        <v>146</v>
      </c>
      <c r="I304" t="str">
        <f t="shared" si="4"/>
        <v>TP</v>
      </c>
    </row>
    <row r="305" spans="1:9" x14ac:dyDescent="0.2">
      <c r="A305">
        <v>7534477</v>
      </c>
      <c r="B305">
        <v>10</v>
      </c>
      <c r="C305" t="s">
        <v>858</v>
      </c>
      <c r="D305" t="s">
        <v>859</v>
      </c>
      <c r="E305" t="s">
        <v>146</v>
      </c>
      <c r="F305" t="s">
        <v>44</v>
      </c>
      <c r="G305" t="s">
        <v>146</v>
      </c>
      <c r="I305" t="str">
        <f t="shared" si="4"/>
        <v>TP</v>
      </c>
    </row>
    <row r="306" spans="1:9" x14ac:dyDescent="0.2">
      <c r="A306">
        <v>7592613</v>
      </c>
      <c r="B306">
        <v>0</v>
      </c>
      <c r="C306" t="s">
        <v>860</v>
      </c>
      <c r="D306" t="s">
        <v>558</v>
      </c>
      <c r="E306" t="s">
        <v>1086</v>
      </c>
      <c r="F306" t="s">
        <v>38</v>
      </c>
      <c r="G306" t="s">
        <v>1086</v>
      </c>
      <c r="I306" t="str">
        <f t="shared" si="4"/>
        <v/>
      </c>
    </row>
    <row r="307" spans="1:9" x14ac:dyDescent="0.2">
      <c r="A307">
        <v>7592613</v>
      </c>
      <c r="B307">
        <v>1</v>
      </c>
      <c r="C307" t="s">
        <v>861</v>
      </c>
      <c r="I307" t="str">
        <f t="shared" si="4"/>
        <v/>
      </c>
    </row>
    <row r="308" spans="1:9" x14ac:dyDescent="0.2">
      <c r="A308">
        <v>7592613</v>
      </c>
      <c r="B308">
        <v>2</v>
      </c>
      <c r="C308" t="s">
        <v>862</v>
      </c>
      <c r="D308" t="s">
        <v>558</v>
      </c>
      <c r="E308" t="s">
        <v>1086</v>
      </c>
      <c r="F308" t="s">
        <v>38</v>
      </c>
      <c r="G308" t="s">
        <v>1086</v>
      </c>
      <c r="I308" t="str">
        <f t="shared" si="4"/>
        <v/>
      </c>
    </row>
    <row r="309" spans="1:9" x14ac:dyDescent="0.2">
      <c r="A309">
        <v>7592613</v>
      </c>
      <c r="B309">
        <v>3</v>
      </c>
      <c r="C309" t="s">
        <v>863</v>
      </c>
      <c r="I309" t="str">
        <f t="shared" si="4"/>
        <v/>
      </c>
    </row>
    <row r="310" spans="1:9" x14ac:dyDescent="0.2">
      <c r="A310">
        <v>7592613</v>
      </c>
      <c r="B310">
        <v>4</v>
      </c>
      <c r="C310" t="s">
        <v>864</v>
      </c>
      <c r="D310" t="s">
        <v>865</v>
      </c>
      <c r="E310" t="s">
        <v>146</v>
      </c>
      <c r="F310" t="s">
        <v>44</v>
      </c>
      <c r="G310" t="s">
        <v>146</v>
      </c>
      <c r="I310" t="str">
        <f t="shared" si="4"/>
        <v>TP</v>
      </c>
    </row>
    <row r="311" spans="1:9" x14ac:dyDescent="0.2">
      <c r="A311">
        <v>7592613</v>
      </c>
      <c r="B311">
        <v>4</v>
      </c>
      <c r="C311" t="s">
        <v>864</v>
      </c>
      <c r="D311" s="10" t="s">
        <v>866</v>
      </c>
      <c r="E311" t="s">
        <v>1086</v>
      </c>
      <c r="F311" t="s">
        <v>38</v>
      </c>
      <c r="G311" t="s">
        <v>1086</v>
      </c>
      <c r="I311" t="str">
        <f t="shared" si="4"/>
        <v/>
      </c>
    </row>
    <row r="312" spans="1:9" x14ac:dyDescent="0.2">
      <c r="A312">
        <v>7592613</v>
      </c>
      <c r="B312">
        <v>4</v>
      </c>
      <c r="C312" t="s">
        <v>864</v>
      </c>
      <c r="D312" s="10" t="s">
        <v>867</v>
      </c>
      <c r="E312" t="s">
        <v>1086</v>
      </c>
      <c r="F312" t="s">
        <v>38</v>
      </c>
      <c r="G312" t="s">
        <v>1086</v>
      </c>
      <c r="I312" t="str">
        <f t="shared" si="4"/>
        <v/>
      </c>
    </row>
    <row r="313" spans="1:9" x14ac:dyDescent="0.2">
      <c r="A313">
        <v>7592613</v>
      </c>
      <c r="B313">
        <v>4</v>
      </c>
      <c r="C313" t="s">
        <v>864</v>
      </c>
      <c r="D313" t="s">
        <v>868</v>
      </c>
      <c r="E313" t="s">
        <v>1086</v>
      </c>
      <c r="F313" t="s">
        <v>44</v>
      </c>
      <c r="G313" t="s">
        <v>1086</v>
      </c>
      <c r="I313" t="str">
        <f t="shared" si="4"/>
        <v/>
      </c>
    </row>
    <row r="314" spans="1:9" x14ac:dyDescent="0.2">
      <c r="A314">
        <v>7592613</v>
      </c>
      <c r="B314">
        <v>5</v>
      </c>
      <c r="C314" t="s">
        <v>869</v>
      </c>
      <c r="D314" t="s">
        <v>870</v>
      </c>
      <c r="E314" t="s">
        <v>1086</v>
      </c>
      <c r="F314" t="s">
        <v>38</v>
      </c>
      <c r="G314" t="s">
        <v>1086</v>
      </c>
      <c r="I314" t="str">
        <f t="shared" si="4"/>
        <v/>
      </c>
    </row>
    <row r="315" spans="1:9" x14ac:dyDescent="0.2">
      <c r="A315">
        <v>7592613</v>
      </c>
      <c r="B315">
        <v>5</v>
      </c>
      <c r="C315" t="s">
        <v>869</v>
      </c>
      <c r="D315" t="s">
        <v>868</v>
      </c>
      <c r="E315" t="s">
        <v>1086</v>
      </c>
      <c r="F315" t="s">
        <v>38</v>
      </c>
      <c r="G315" t="s">
        <v>1086</v>
      </c>
      <c r="I315" t="str">
        <f t="shared" si="4"/>
        <v/>
      </c>
    </row>
    <row r="316" spans="1:9" x14ac:dyDescent="0.2">
      <c r="A316">
        <v>7592613</v>
      </c>
      <c r="B316">
        <v>5</v>
      </c>
      <c r="C316" t="s">
        <v>869</v>
      </c>
      <c r="D316" t="s">
        <v>871</v>
      </c>
      <c r="E316" t="s">
        <v>146</v>
      </c>
      <c r="F316" t="s">
        <v>99</v>
      </c>
      <c r="G316" t="s">
        <v>146</v>
      </c>
      <c r="I316" t="str">
        <f t="shared" si="4"/>
        <v>TP</v>
      </c>
    </row>
    <row r="317" spans="1:9" x14ac:dyDescent="0.2">
      <c r="A317">
        <v>7592613</v>
      </c>
      <c r="B317">
        <v>5</v>
      </c>
      <c r="C317" t="s">
        <v>869</v>
      </c>
      <c r="D317" t="s">
        <v>872</v>
      </c>
      <c r="E317" t="s">
        <v>146</v>
      </c>
      <c r="F317" t="s">
        <v>99</v>
      </c>
      <c r="G317" t="s">
        <v>146</v>
      </c>
      <c r="I317" t="str">
        <f t="shared" si="4"/>
        <v>TP</v>
      </c>
    </row>
    <row r="318" spans="1:9" x14ac:dyDescent="0.2">
      <c r="A318">
        <v>7592613</v>
      </c>
      <c r="B318">
        <v>5</v>
      </c>
      <c r="C318" t="s">
        <v>869</v>
      </c>
      <c r="D318" t="s">
        <v>873</v>
      </c>
      <c r="E318" t="s">
        <v>146</v>
      </c>
      <c r="F318" t="s">
        <v>99</v>
      </c>
      <c r="G318" t="s">
        <v>146</v>
      </c>
      <c r="I318" t="str">
        <f t="shared" si="4"/>
        <v>TP</v>
      </c>
    </row>
    <row r="319" spans="1:9" x14ac:dyDescent="0.2">
      <c r="A319">
        <v>7592613</v>
      </c>
      <c r="B319">
        <v>5</v>
      </c>
      <c r="C319" t="s">
        <v>869</v>
      </c>
      <c r="D319" t="s">
        <v>873</v>
      </c>
      <c r="E319" t="s">
        <v>146</v>
      </c>
      <c r="F319" t="s">
        <v>99</v>
      </c>
      <c r="G319" t="s">
        <v>146</v>
      </c>
      <c r="I319" t="str">
        <f t="shared" si="4"/>
        <v>TP</v>
      </c>
    </row>
    <row r="320" spans="1:9" x14ac:dyDescent="0.2">
      <c r="A320">
        <v>7592613</v>
      </c>
      <c r="B320">
        <v>5</v>
      </c>
      <c r="C320" t="s">
        <v>869</v>
      </c>
      <c r="D320" t="s">
        <v>874</v>
      </c>
      <c r="E320" t="s">
        <v>146</v>
      </c>
      <c r="F320" t="s">
        <v>99</v>
      </c>
      <c r="G320" t="s">
        <v>146</v>
      </c>
      <c r="I320" t="str">
        <f t="shared" si="4"/>
        <v>TP</v>
      </c>
    </row>
    <row r="321" spans="1:10" x14ac:dyDescent="0.2">
      <c r="A321">
        <v>7592613</v>
      </c>
      <c r="B321">
        <v>5</v>
      </c>
      <c r="C321" t="s">
        <v>869</v>
      </c>
      <c r="D321" t="s">
        <v>874</v>
      </c>
      <c r="E321" t="s">
        <v>146</v>
      </c>
      <c r="F321" t="s">
        <v>99</v>
      </c>
      <c r="G321" t="s">
        <v>146</v>
      </c>
      <c r="H321" t="s">
        <v>1105</v>
      </c>
      <c r="I321" t="str">
        <f t="shared" si="4"/>
        <v>TP</v>
      </c>
      <c r="J321" t="s">
        <v>1974</v>
      </c>
    </row>
    <row r="322" spans="1:10" x14ac:dyDescent="0.2">
      <c r="A322">
        <v>7592613</v>
      </c>
      <c r="B322">
        <v>5</v>
      </c>
      <c r="C322" t="s">
        <v>869</v>
      </c>
      <c r="D322" t="s">
        <v>875</v>
      </c>
      <c r="E322" t="s">
        <v>146</v>
      </c>
      <c r="F322" t="s">
        <v>44</v>
      </c>
      <c r="G322" t="s">
        <v>146</v>
      </c>
      <c r="I322" t="str">
        <f t="shared" ref="I322:I385" si="5">IF(OR(E322="FP",G322="FP"),"FP",IF(AND(E322="TP",E322="TP"),"TP",""))</f>
        <v>TP</v>
      </c>
    </row>
    <row r="323" spans="1:10" x14ac:dyDescent="0.2">
      <c r="A323">
        <v>7592613</v>
      </c>
      <c r="B323">
        <v>6</v>
      </c>
      <c r="C323" t="s">
        <v>876</v>
      </c>
      <c r="D323" t="s">
        <v>558</v>
      </c>
      <c r="E323" t="s">
        <v>1086</v>
      </c>
      <c r="F323" t="s">
        <v>38</v>
      </c>
      <c r="G323" t="s">
        <v>1086</v>
      </c>
      <c r="I323" t="str">
        <f t="shared" si="5"/>
        <v/>
      </c>
    </row>
    <row r="324" spans="1:10" x14ac:dyDescent="0.2">
      <c r="A324">
        <v>7592613</v>
      </c>
      <c r="B324">
        <v>6</v>
      </c>
      <c r="C324" t="s">
        <v>876</v>
      </c>
      <c r="D324" t="s">
        <v>877</v>
      </c>
      <c r="E324" t="s">
        <v>146</v>
      </c>
      <c r="F324" t="s">
        <v>44</v>
      </c>
      <c r="G324" t="s">
        <v>146</v>
      </c>
      <c r="I324" t="str">
        <f t="shared" si="5"/>
        <v>TP</v>
      </c>
    </row>
    <row r="325" spans="1:10" x14ac:dyDescent="0.2">
      <c r="A325">
        <v>7592613</v>
      </c>
      <c r="B325">
        <v>6</v>
      </c>
      <c r="C325" t="s">
        <v>876</v>
      </c>
      <c r="D325" t="s">
        <v>878</v>
      </c>
      <c r="E325" t="s">
        <v>146</v>
      </c>
      <c r="F325" t="s">
        <v>44</v>
      </c>
      <c r="G325" t="s">
        <v>146</v>
      </c>
      <c r="I325" t="str">
        <f t="shared" si="5"/>
        <v>TP</v>
      </c>
    </row>
    <row r="326" spans="1:10" x14ac:dyDescent="0.2">
      <c r="A326">
        <v>7592613</v>
      </c>
      <c r="B326">
        <v>7</v>
      </c>
      <c r="C326" t="s">
        <v>879</v>
      </c>
      <c r="D326" t="s">
        <v>880</v>
      </c>
      <c r="E326" t="s">
        <v>1086</v>
      </c>
      <c r="F326" t="s">
        <v>38</v>
      </c>
      <c r="G326" t="s">
        <v>1086</v>
      </c>
      <c r="I326" t="str">
        <f t="shared" si="5"/>
        <v/>
      </c>
    </row>
    <row r="327" spans="1:10" x14ac:dyDescent="0.2">
      <c r="A327">
        <v>7592613</v>
      </c>
      <c r="B327">
        <v>7</v>
      </c>
      <c r="C327" t="s">
        <v>879</v>
      </c>
      <c r="D327" t="s">
        <v>881</v>
      </c>
      <c r="E327" t="s">
        <v>146</v>
      </c>
      <c r="F327" t="s">
        <v>44</v>
      </c>
      <c r="G327" t="s">
        <v>146</v>
      </c>
      <c r="I327" t="str">
        <f t="shared" si="5"/>
        <v>TP</v>
      </c>
    </row>
    <row r="328" spans="1:10" x14ac:dyDescent="0.2">
      <c r="A328">
        <v>7592613</v>
      </c>
      <c r="B328">
        <v>8</v>
      </c>
      <c r="C328" t="s">
        <v>882</v>
      </c>
      <c r="I328" t="str">
        <f t="shared" si="5"/>
        <v/>
      </c>
    </row>
    <row r="329" spans="1:10" x14ac:dyDescent="0.2">
      <c r="A329">
        <v>7592613</v>
      </c>
      <c r="B329">
        <v>9</v>
      </c>
      <c r="C329" t="s">
        <v>883</v>
      </c>
      <c r="D329" t="s">
        <v>884</v>
      </c>
      <c r="E329" t="s">
        <v>1086</v>
      </c>
      <c r="F329" t="s">
        <v>38</v>
      </c>
      <c r="G329" t="s">
        <v>1086</v>
      </c>
      <c r="I329" t="str">
        <f t="shared" si="5"/>
        <v/>
      </c>
    </row>
    <row r="330" spans="1:10" x14ac:dyDescent="0.2">
      <c r="A330">
        <v>12770775</v>
      </c>
      <c r="B330">
        <v>0</v>
      </c>
      <c r="C330" t="s">
        <v>885</v>
      </c>
      <c r="D330" s="10" t="s">
        <v>886</v>
      </c>
      <c r="E330" t="s">
        <v>1086</v>
      </c>
      <c r="F330" t="s">
        <v>44</v>
      </c>
      <c r="G330" t="s">
        <v>1086</v>
      </c>
      <c r="I330" t="str">
        <f t="shared" si="5"/>
        <v/>
      </c>
    </row>
    <row r="331" spans="1:10" x14ac:dyDescent="0.2">
      <c r="A331">
        <v>12770775</v>
      </c>
      <c r="B331">
        <v>1</v>
      </c>
      <c r="C331" t="s">
        <v>887</v>
      </c>
      <c r="D331" t="s">
        <v>888</v>
      </c>
      <c r="E331" t="s">
        <v>1086</v>
      </c>
      <c r="F331" t="s">
        <v>38</v>
      </c>
      <c r="G331" t="s">
        <v>1086</v>
      </c>
      <c r="I331" t="str">
        <f t="shared" si="5"/>
        <v/>
      </c>
    </row>
    <row r="332" spans="1:10" x14ac:dyDescent="0.2">
      <c r="A332">
        <v>12770775</v>
      </c>
      <c r="B332">
        <v>2</v>
      </c>
      <c r="C332" t="s">
        <v>354</v>
      </c>
      <c r="I332" t="str">
        <f t="shared" si="5"/>
        <v/>
      </c>
    </row>
    <row r="333" spans="1:10" x14ac:dyDescent="0.2">
      <c r="A333">
        <v>12770775</v>
      </c>
      <c r="B333">
        <v>3</v>
      </c>
      <c r="C333" t="s">
        <v>889</v>
      </c>
      <c r="I333" t="str">
        <f t="shared" si="5"/>
        <v/>
      </c>
    </row>
    <row r="334" spans="1:10" x14ac:dyDescent="0.2">
      <c r="A334">
        <v>12770775</v>
      </c>
      <c r="B334">
        <v>4</v>
      </c>
      <c r="C334" t="s">
        <v>890</v>
      </c>
      <c r="D334" t="s">
        <v>558</v>
      </c>
      <c r="E334" t="s">
        <v>1086</v>
      </c>
      <c r="F334" t="s">
        <v>38</v>
      </c>
      <c r="G334" t="s">
        <v>1086</v>
      </c>
      <c r="I334" t="str">
        <f t="shared" si="5"/>
        <v/>
      </c>
    </row>
    <row r="335" spans="1:10" x14ac:dyDescent="0.2">
      <c r="A335">
        <v>12770775</v>
      </c>
      <c r="B335">
        <v>5</v>
      </c>
      <c r="C335" t="s">
        <v>891</v>
      </c>
      <c r="I335" t="str">
        <f t="shared" si="5"/>
        <v/>
      </c>
    </row>
    <row r="336" spans="1:10" x14ac:dyDescent="0.2">
      <c r="A336">
        <v>12770775</v>
      </c>
      <c r="B336">
        <v>6</v>
      </c>
      <c r="C336" t="s">
        <v>892</v>
      </c>
      <c r="I336" t="str">
        <f t="shared" si="5"/>
        <v/>
      </c>
    </row>
    <row r="337" spans="1:10" x14ac:dyDescent="0.2">
      <c r="A337">
        <v>12770775</v>
      </c>
      <c r="B337">
        <v>7</v>
      </c>
      <c r="C337" t="s">
        <v>893</v>
      </c>
      <c r="D337" t="s">
        <v>894</v>
      </c>
      <c r="E337" t="s">
        <v>146</v>
      </c>
      <c r="F337" t="s">
        <v>44</v>
      </c>
      <c r="G337" t="s">
        <v>146</v>
      </c>
      <c r="I337" t="str">
        <f t="shared" si="5"/>
        <v>TP</v>
      </c>
    </row>
    <row r="338" spans="1:10" x14ac:dyDescent="0.2">
      <c r="A338">
        <v>12770775</v>
      </c>
      <c r="B338">
        <v>7</v>
      </c>
      <c r="C338" t="s">
        <v>893</v>
      </c>
      <c r="D338" t="s">
        <v>895</v>
      </c>
      <c r="E338" t="s">
        <v>146</v>
      </c>
      <c r="F338" t="s">
        <v>44</v>
      </c>
      <c r="G338" t="s">
        <v>146</v>
      </c>
      <c r="I338" t="str">
        <f t="shared" si="5"/>
        <v>TP</v>
      </c>
    </row>
    <row r="339" spans="1:10" x14ac:dyDescent="0.2">
      <c r="A339">
        <v>12770775</v>
      </c>
      <c r="B339">
        <v>7</v>
      </c>
      <c r="C339" t="s">
        <v>893</v>
      </c>
      <c r="D339" t="s">
        <v>896</v>
      </c>
      <c r="E339" t="s">
        <v>146</v>
      </c>
      <c r="F339" t="s">
        <v>44</v>
      </c>
      <c r="G339" t="s">
        <v>146</v>
      </c>
      <c r="I339" t="str">
        <f t="shared" si="5"/>
        <v>TP</v>
      </c>
    </row>
    <row r="340" spans="1:10" x14ac:dyDescent="0.2">
      <c r="A340">
        <v>12770775</v>
      </c>
      <c r="B340">
        <v>7</v>
      </c>
      <c r="C340" t="s">
        <v>893</v>
      </c>
      <c r="D340" t="s">
        <v>897</v>
      </c>
      <c r="E340" t="s">
        <v>146</v>
      </c>
      <c r="F340" t="s">
        <v>44</v>
      </c>
      <c r="G340" t="s">
        <v>146</v>
      </c>
      <c r="I340" t="str">
        <f t="shared" si="5"/>
        <v>TP</v>
      </c>
    </row>
    <row r="341" spans="1:10" x14ac:dyDescent="0.2">
      <c r="A341">
        <v>12770775</v>
      </c>
      <c r="B341">
        <v>7</v>
      </c>
      <c r="C341" t="s">
        <v>893</v>
      </c>
      <c r="D341" t="s">
        <v>898</v>
      </c>
      <c r="E341" t="s">
        <v>1086</v>
      </c>
      <c r="F341" t="s">
        <v>44</v>
      </c>
      <c r="G341" t="s">
        <v>1086</v>
      </c>
      <c r="I341" t="str">
        <f t="shared" si="5"/>
        <v/>
      </c>
    </row>
    <row r="342" spans="1:10" x14ac:dyDescent="0.2">
      <c r="A342">
        <v>12770775</v>
      </c>
      <c r="B342">
        <v>7</v>
      </c>
      <c r="C342" t="s">
        <v>893</v>
      </c>
      <c r="D342" t="s">
        <v>899</v>
      </c>
      <c r="E342" t="s">
        <v>146</v>
      </c>
      <c r="F342" t="s">
        <v>44</v>
      </c>
      <c r="G342" t="s">
        <v>146</v>
      </c>
      <c r="I342" t="str">
        <f t="shared" si="5"/>
        <v>TP</v>
      </c>
    </row>
    <row r="343" spans="1:10" x14ac:dyDescent="0.2">
      <c r="A343">
        <v>12770775</v>
      </c>
      <c r="B343">
        <v>8</v>
      </c>
      <c r="C343" t="s">
        <v>900</v>
      </c>
      <c r="D343" t="s">
        <v>558</v>
      </c>
      <c r="E343" t="s">
        <v>1086</v>
      </c>
      <c r="F343" t="s">
        <v>38</v>
      </c>
      <c r="G343" t="s">
        <v>1086</v>
      </c>
      <c r="I343" t="str">
        <f t="shared" si="5"/>
        <v/>
      </c>
    </row>
    <row r="344" spans="1:10" x14ac:dyDescent="0.2">
      <c r="A344">
        <v>12770775</v>
      </c>
      <c r="B344">
        <v>8</v>
      </c>
      <c r="C344" t="s">
        <v>900</v>
      </c>
      <c r="D344" t="s">
        <v>901</v>
      </c>
      <c r="E344" t="s">
        <v>146</v>
      </c>
      <c r="F344" t="s">
        <v>44</v>
      </c>
      <c r="G344" t="s">
        <v>146</v>
      </c>
      <c r="I344" t="str">
        <f t="shared" si="5"/>
        <v>TP</v>
      </c>
    </row>
    <row r="345" spans="1:10" x14ac:dyDescent="0.2">
      <c r="A345">
        <v>12770775</v>
      </c>
      <c r="B345">
        <v>8</v>
      </c>
      <c r="C345" t="s">
        <v>900</v>
      </c>
      <c r="D345" t="s">
        <v>902</v>
      </c>
      <c r="E345" t="s">
        <v>146</v>
      </c>
      <c r="F345" t="s">
        <v>44</v>
      </c>
      <c r="G345" t="s">
        <v>146</v>
      </c>
      <c r="I345" t="str">
        <f t="shared" si="5"/>
        <v>TP</v>
      </c>
    </row>
    <row r="346" spans="1:10" x14ac:dyDescent="0.2">
      <c r="A346">
        <v>12770775</v>
      </c>
      <c r="B346">
        <v>8</v>
      </c>
      <c r="C346" t="s">
        <v>900</v>
      </c>
      <c r="D346" t="s">
        <v>903</v>
      </c>
      <c r="E346" t="s">
        <v>146</v>
      </c>
      <c r="F346" t="s">
        <v>99</v>
      </c>
      <c r="G346" t="s">
        <v>146</v>
      </c>
      <c r="I346" t="str">
        <f t="shared" si="5"/>
        <v>TP</v>
      </c>
    </row>
    <row r="347" spans="1:10" x14ac:dyDescent="0.2">
      <c r="A347">
        <v>12770775</v>
      </c>
      <c r="B347">
        <v>8</v>
      </c>
      <c r="C347" t="s">
        <v>900</v>
      </c>
      <c r="D347" t="s">
        <v>904</v>
      </c>
      <c r="E347" t="s">
        <v>146</v>
      </c>
      <c r="F347" t="s">
        <v>99</v>
      </c>
      <c r="G347" t="s">
        <v>146</v>
      </c>
      <c r="H347" t="s">
        <v>1106</v>
      </c>
      <c r="I347" t="str">
        <f t="shared" si="5"/>
        <v>TP</v>
      </c>
      <c r="J347" t="s">
        <v>1993</v>
      </c>
    </row>
    <row r="348" spans="1:10" x14ac:dyDescent="0.2">
      <c r="A348">
        <v>12770775</v>
      </c>
      <c r="B348">
        <v>9</v>
      </c>
      <c r="C348" t="s">
        <v>905</v>
      </c>
      <c r="H348" t="s">
        <v>463</v>
      </c>
      <c r="I348" t="str">
        <f t="shared" si="5"/>
        <v/>
      </c>
    </row>
    <row r="349" spans="1:10" x14ac:dyDescent="0.2">
      <c r="A349">
        <v>12770775</v>
      </c>
      <c r="B349">
        <v>10</v>
      </c>
      <c r="C349" t="s">
        <v>906</v>
      </c>
      <c r="D349" t="s">
        <v>907</v>
      </c>
      <c r="E349" t="s">
        <v>146</v>
      </c>
      <c r="F349" t="s">
        <v>44</v>
      </c>
      <c r="G349" t="s">
        <v>146</v>
      </c>
      <c r="I349" t="str">
        <f t="shared" si="5"/>
        <v>TP</v>
      </c>
    </row>
    <row r="350" spans="1:10" x14ac:dyDescent="0.2">
      <c r="A350">
        <v>12770775</v>
      </c>
      <c r="B350">
        <v>10</v>
      </c>
      <c r="C350" t="s">
        <v>906</v>
      </c>
      <c r="D350" t="s">
        <v>908</v>
      </c>
      <c r="E350" t="s">
        <v>146</v>
      </c>
      <c r="F350" t="s">
        <v>44</v>
      </c>
      <c r="G350" t="s">
        <v>146</v>
      </c>
      <c r="I350" t="str">
        <f t="shared" si="5"/>
        <v>TP</v>
      </c>
    </row>
    <row r="351" spans="1:10" x14ac:dyDescent="0.2">
      <c r="A351">
        <v>12770775</v>
      </c>
      <c r="B351">
        <v>10</v>
      </c>
      <c r="C351" t="s">
        <v>906</v>
      </c>
      <c r="D351" t="s">
        <v>909</v>
      </c>
      <c r="E351" t="s">
        <v>146</v>
      </c>
      <c r="F351" t="s">
        <v>44</v>
      </c>
      <c r="G351" t="s">
        <v>146</v>
      </c>
      <c r="I351" t="str">
        <f t="shared" si="5"/>
        <v>TP</v>
      </c>
    </row>
    <row r="352" spans="1:10" x14ac:dyDescent="0.2">
      <c r="A352">
        <v>12770775</v>
      </c>
      <c r="B352">
        <v>10</v>
      </c>
      <c r="C352" t="s">
        <v>906</v>
      </c>
      <c r="D352" t="s">
        <v>910</v>
      </c>
      <c r="E352" t="s">
        <v>146</v>
      </c>
      <c r="F352" t="s">
        <v>44</v>
      </c>
      <c r="G352" t="s">
        <v>146</v>
      </c>
      <c r="I352" t="str">
        <f t="shared" si="5"/>
        <v>TP</v>
      </c>
    </row>
    <row r="353" spans="1:9" x14ac:dyDescent="0.2">
      <c r="A353">
        <v>12770775</v>
      </c>
      <c r="B353">
        <v>11</v>
      </c>
      <c r="C353" t="s">
        <v>911</v>
      </c>
      <c r="I353" t="str">
        <f t="shared" si="5"/>
        <v/>
      </c>
    </row>
    <row r="354" spans="1:9" x14ac:dyDescent="0.2">
      <c r="A354">
        <v>7722002</v>
      </c>
      <c r="B354">
        <v>0</v>
      </c>
      <c r="C354" t="s">
        <v>912</v>
      </c>
      <c r="D354" t="s">
        <v>402</v>
      </c>
      <c r="E354" t="s">
        <v>146</v>
      </c>
      <c r="F354" t="s">
        <v>44</v>
      </c>
      <c r="G354" t="s">
        <v>146</v>
      </c>
      <c r="I354" t="str">
        <f t="shared" si="5"/>
        <v>TP</v>
      </c>
    </row>
    <row r="355" spans="1:9" x14ac:dyDescent="0.2">
      <c r="A355">
        <v>7722002</v>
      </c>
      <c r="B355">
        <v>0</v>
      </c>
      <c r="C355" t="s">
        <v>912</v>
      </c>
      <c r="D355" t="s">
        <v>398</v>
      </c>
      <c r="E355" t="s">
        <v>146</v>
      </c>
      <c r="F355" t="s">
        <v>44</v>
      </c>
      <c r="G355" t="s">
        <v>146</v>
      </c>
      <c r="I355" t="str">
        <f t="shared" si="5"/>
        <v>TP</v>
      </c>
    </row>
    <row r="356" spans="1:9" x14ac:dyDescent="0.2">
      <c r="A356">
        <v>7722002</v>
      </c>
      <c r="B356">
        <v>1</v>
      </c>
      <c r="C356" t="s">
        <v>913</v>
      </c>
      <c r="I356" t="str">
        <f t="shared" si="5"/>
        <v/>
      </c>
    </row>
    <row r="357" spans="1:9" x14ac:dyDescent="0.2">
      <c r="A357">
        <v>7722002</v>
      </c>
      <c r="B357">
        <v>2</v>
      </c>
      <c r="C357" t="s">
        <v>914</v>
      </c>
      <c r="D357" t="s">
        <v>915</v>
      </c>
      <c r="E357" t="s">
        <v>1086</v>
      </c>
      <c r="F357" t="s">
        <v>44</v>
      </c>
      <c r="G357" t="s">
        <v>1086</v>
      </c>
      <c r="I357" t="str">
        <f t="shared" si="5"/>
        <v/>
      </c>
    </row>
    <row r="358" spans="1:9" x14ac:dyDescent="0.2">
      <c r="A358">
        <v>7722002</v>
      </c>
      <c r="B358">
        <v>3</v>
      </c>
      <c r="C358" t="s">
        <v>916</v>
      </c>
      <c r="D358" t="s">
        <v>917</v>
      </c>
      <c r="E358" t="s">
        <v>146</v>
      </c>
      <c r="F358" t="s">
        <v>44</v>
      </c>
      <c r="G358" t="s">
        <v>146</v>
      </c>
      <c r="I358" t="str">
        <f t="shared" si="5"/>
        <v>TP</v>
      </c>
    </row>
    <row r="359" spans="1:9" x14ac:dyDescent="0.2">
      <c r="A359">
        <v>7722002</v>
      </c>
      <c r="B359">
        <v>3</v>
      </c>
      <c r="C359" t="s">
        <v>916</v>
      </c>
      <c r="D359" t="s">
        <v>918</v>
      </c>
      <c r="E359" t="s">
        <v>146</v>
      </c>
      <c r="F359" t="s">
        <v>44</v>
      </c>
      <c r="G359" t="s">
        <v>146</v>
      </c>
      <c r="I359" t="str">
        <f t="shared" si="5"/>
        <v>TP</v>
      </c>
    </row>
    <row r="360" spans="1:9" x14ac:dyDescent="0.2">
      <c r="A360">
        <v>7722002</v>
      </c>
      <c r="B360">
        <v>3</v>
      </c>
      <c r="C360" t="s">
        <v>916</v>
      </c>
      <c r="D360" t="s">
        <v>398</v>
      </c>
      <c r="E360" t="s">
        <v>146</v>
      </c>
      <c r="F360" t="s">
        <v>44</v>
      </c>
      <c r="G360" t="s">
        <v>146</v>
      </c>
      <c r="I360" t="str">
        <f t="shared" si="5"/>
        <v>TP</v>
      </c>
    </row>
    <row r="361" spans="1:9" x14ac:dyDescent="0.2">
      <c r="A361">
        <v>7722002</v>
      </c>
      <c r="B361">
        <v>4</v>
      </c>
      <c r="C361" t="s">
        <v>919</v>
      </c>
      <c r="I361" t="str">
        <f t="shared" si="5"/>
        <v/>
      </c>
    </row>
    <row r="362" spans="1:9" x14ac:dyDescent="0.2">
      <c r="A362">
        <v>7722002</v>
      </c>
      <c r="B362">
        <v>5</v>
      </c>
      <c r="C362" t="s">
        <v>920</v>
      </c>
      <c r="D362" t="s">
        <v>402</v>
      </c>
      <c r="E362" t="s">
        <v>146</v>
      </c>
      <c r="F362" t="s">
        <v>44</v>
      </c>
      <c r="G362" t="s">
        <v>146</v>
      </c>
      <c r="I362" t="str">
        <f t="shared" si="5"/>
        <v>TP</v>
      </c>
    </row>
    <row r="363" spans="1:9" x14ac:dyDescent="0.2">
      <c r="A363">
        <v>7722002</v>
      </c>
      <c r="B363">
        <v>6</v>
      </c>
      <c r="C363" t="s">
        <v>921</v>
      </c>
      <c r="D363" t="s">
        <v>402</v>
      </c>
      <c r="E363" t="s">
        <v>146</v>
      </c>
      <c r="F363" t="s">
        <v>44</v>
      </c>
      <c r="G363" t="s">
        <v>146</v>
      </c>
      <c r="I363" t="str">
        <f t="shared" si="5"/>
        <v>TP</v>
      </c>
    </row>
    <row r="364" spans="1:9" x14ac:dyDescent="0.2">
      <c r="A364">
        <v>7722002</v>
      </c>
      <c r="B364">
        <v>7</v>
      </c>
      <c r="C364" t="s">
        <v>922</v>
      </c>
      <c r="D364" t="s">
        <v>402</v>
      </c>
      <c r="E364" t="s">
        <v>146</v>
      </c>
      <c r="F364" t="s">
        <v>44</v>
      </c>
      <c r="G364" t="s">
        <v>146</v>
      </c>
      <c r="I364" t="str">
        <f t="shared" si="5"/>
        <v>TP</v>
      </c>
    </row>
    <row r="365" spans="1:9" x14ac:dyDescent="0.2">
      <c r="A365">
        <v>7722002</v>
      </c>
      <c r="B365">
        <v>7</v>
      </c>
      <c r="C365" t="s">
        <v>922</v>
      </c>
      <c r="D365" t="s">
        <v>398</v>
      </c>
      <c r="E365" t="s">
        <v>146</v>
      </c>
      <c r="F365" t="s">
        <v>44</v>
      </c>
      <c r="G365" t="s">
        <v>146</v>
      </c>
      <c r="I365" t="str">
        <f t="shared" si="5"/>
        <v>TP</v>
      </c>
    </row>
    <row r="366" spans="1:9" x14ac:dyDescent="0.2">
      <c r="A366">
        <v>8082783</v>
      </c>
      <c r="B366">
        <v>0</v>
      </c>
      <c r="C366" t="s">
        <v>923</v>
      </c>
      <c r="D366" t="s">
        <v>69</v>
      </c>
      <c r="E366" t="s">
        <v>1086</v>
      </c>
      <c r="F366" t="s">
        <v>38</v>
      </c>
      <c r="G366" t="s">
        <v>1086</v>
      </c>
      <c r="I366" t="str">
        <f t="shared" si="5"/>
        <v/>
      </c>
    </row>
    <row r="367" spans="1:9" x14ac:dyDescent="0.2">
      <c r="A367">
        <v>8082783</v>
      </c>
      <c r="B367">
        <v>0</v>
      </c>
      <c r="C367" t="s">
        <v>923</v>
      </c>
      <c r="D367" t="s">
        <v>924</v>
      </c>
      <c r="E367" t="s">
        <v>146</v>
      </c>
      <c r="F367" t="s">
        <v>3</v>
      </c>
      <c r="G367" t="s">
        <v>146</v>
      </c>
      <c r="I367" t="str">
        <f t="shared" si="5"/>
        <v>TP</v>
      </c>
    </row>
    <row r="368" spans="1:9" x14ac:dyDescent="0.2">
      <c r="A368">
        <v>8082783</v>
      </c>
      <c r="B368">
        <v>0</v>
      </c>
      <c r="C368" t="s">
        <v>923</v>
      </c>
      <c r="D368" t="s">
        <v>925</v>
      </c>
      <c r="E368" t="s">
        <v>146</v>
      </c>
      <c r="F368" t="s">
        <v>3</v>
      </c>
      <c r="G368" t="s">
        <v>146</v>
      </c>
      <c r="I368" t="str">
        <f t="shared" si="5"/>
        <v>TP</v>
      </c>
    </row>
    <row r="369" spans="1:9" x14ac:dyDescent="0.2">
      <c r="A369">
        <v>8082783</v>
      </c>
      <c r="B369">
        <v>1</v>
      </c>
      <c r="C369" t="s">
        <v>926</v>
      </c>
      <c r="D369" t="s">
        <v>69</v>
      </c>
      <c r="E369" t="s">
        <v>1086</v>
      </c>
      <c r="F369" t="s">
        <v>38</v>
      </c>
      <c r="G369" t="s">
        <v>1086</v>
      </c>
      <c r="I369" t="str">
        <f t="shared" si="5"/>
        <v/>
      </c>
    </row>
    <row r="370" spans="1:9" x14ac:dyDescent="0.2">
      <c r="A370">
        <v>8082783</v>
      </c>
      <c r="B370">
        <v>1</v>
      </c>
      <c r="C370" t="s">
        <v>926</v>
      </c>
      <c r="D370" t="s">
        <v>924</v>
      </c>
      <c r="E370" t="s">
        <v>146</v>
      </c>
      <c r="F370" t="s">
        <v>3</v>
      </c>
      <c r="G370" t="s">
        <v>146</v>
      </c>
      <c r="I370" t="str">
        <f t="shared" si="5"/>
        <v>TP</v>
      </c>
    </row>
    <row r="371" spans="1:9" x14ac:dyDescent="0.2">
      <c r="A371">
        <v>8082783</v>
      </c>
      <c r="B371">
        <v>1</v>
      </c>
      <c r="C371" t="s">
        <v>926</v>
      </c>
      <c r="D371" t="s">
        <v>925</v>
      </c>
      <c r="E371" t="s">
        <v>146</v>
      </c>
      <c r="F371" t="s">
        <v>3</v>
      </c>
      <c r="G371" t="s">
        <v>146</v>
      </c>
      <c r="I371" t="str">
        <f t="shared" si="5"/>
        <v>TP</v>
      </c>
    </row>
    <row r="372" spans="1:9" x14ac:dyDescent="0.2">
      <c r="A372">
        <v>8082783</v>
      </c>
      <c r="B372">
        <v>2</v>
      </c>
      <c r="C372" t="s">
        <v>927</v>
      </c>
      <c r="D372" t="s">
        <v>69</v>
      </c>
      <c r="E372" t="s">
        <v>1086</v>
      </c>
      <c r="F372" t="s">
        <v>38</v>
      </c>
      <c r="G372" t="s">
        <v>1086</v>
      </c>
      <c r="I372" t="str">
        <f t="shared" si="5"/>
        <v/>
      </c>
    </row>
    <row r="373" spans="1:9" x14ac:dyDescent="0.2">
      <c r="A373">
        <v>8082783</v>
      </c>
      <c r="B373">
        <v>2</v>
      </c>
      <c r="C373" t="s">
        <v>927</v>
      </c>
      <c r="D373" t="s">
        <v>928</v>
      </c>
      <c r="E373" t="s">
        <v>146</v>
      </c>
      <c r="F373" t="s">
        <v>99</v>
      </c>
      <c r="G373" t="s">
        <v>146</v>
      </c>
      <c r="I373" t="str">
        <f t="shared" si="5"/>
        <v>TP</v>
      </c>
    </row>
    <row r="374" spans="1:9" x14ac:dyDescent="0.2">
      <c r="A374">
        <v>8082783</v>
      </c>
      <c r="B374">
        <v>2</v>
      </c>
      <c r="C374" t="s">
        <v>927</v>
      </c>
      <c r="D374" t="s">
        <v>512</v>
      </c>
      <c r="E374" t="s">
        <v>146</v>
      </c>
      <c r="F374" t="s">
        <v>61</v>
      </c>
      <c r="G374" t="s">
        <v>146</v>
      </c>
      <c r="I374" t="str">
        <f t="shared" si="5"/>
        <v>TP</v>
      </c>
    </row>
    <row r="375" spans="1:9" x14ac:dyDescent="0.2">
      <c r="A375">
        <v>8082783</v>
      </c>
      <c r="B375">
        <v>2</v>
      </c>
      <c r="C375" t="s">
        <v>927</v>
      </c>
      <c r="D375" t="s">
        <v>929</v>
      </c>
      <c r="E375" t="s">
        <v>1086</v>
      </c>
      <c r="F375" t="s">
        <v>44</v>
      </c>
      <c r="G375" t="s">
        <v>1086</v>
      </c>
      <c r="I375" t="str">
        <f t="shared" si="5"/>
        <v/>
      </c>
    </row>
    <row r="376" spans="1:9" x14ac:dyDescent="0.2">
      <c r="A376">
        <v>8082783</v>
      </c>
      <c r="B376">
        <v>3</v>
      </c>
      <c r="C376" t="s">
        <v>930</v>
      </c>
      <c r="D376" t="s">
        <v>924</v>
      </c>
      <c r="E376" t="s">
        <v>146</v>
      </c>
      <c r="F376" t="s">
        <v>3</v>
      </c>
      <c r="G376" t="s">
        <v>146</v>
      </c>
      <c r="I376" t="str">
        <f t="shared" si="5"/>
        <v>TP</v>
      </c>
    </row>
    <row r="377" spans="1:9" x14ac:dyDescent="0.2">
      <c r="A377">
        <v>8082783</v>
      </c>
      <c r="B377">
        <v>3</v>
      </c>
      <c r="C377" t="s">
        <v>930</v>
      </c>
      <c r="D377" t="s">
        <v>925</v>
      </c>
      <c r="E377" t="s">
        <v>146</v>
      </c>
      <c r="F377" t="s">
        <v>3</v>
      </c>
      <c r="G377" t="s">
        <v>146</v>
      </c>
      <c r="I377" t="str">
        <f t="shared" si="5"/>
        <v>TP</v>
      </c>
    </row>
    <row r="378" spans="1:9" x14ac:dyDescent="0.2">
      <c r="A378">
        <v>8082783</v>
      </c>
      <c r="B378">
        <v>4</v>
      </c>
      <c r="C378" t="s">
        <v>931</v>
      </c>
      <c r="D378" t="s">
        <v>924</v>
      </c>
      <c r="E378" t="s">
        <v>146</v>
      </c>
      <c r="F378" t="s">
        <v>3</v>
      </c>
      <c r="G378" t="s">
        <v>146</v>
      </c>
      <c r="I378" t="str">
        <f t="shared" si="5"/>
        <v>TP</v>
      </c>
    </row>
    <row r="379" spans="1:9" x14ac:dyDescent="0.2">
      <c r="A379">
        <v>8082783</v>
      </c>
      <c r="B379">
        <v>4</v>
      </c>
      <c r="C379" t="s">
        <v>931</v>
      </c>
      <c r="D379" t="s">
        <v>925</v>
      </c>
      <c r="E379" t="s">
        <v>146</v>
      </c>
      <c r="F379" t="s">
        <v>3</v>
      </c>
      <c r="G379" t="s">
        <v>146</v>
      </c>
      <c r="I379" t="str">
        <f t="shared" si="5"/>
        <v>TP</v>
      </c>
    </row>
    <row r="380" spans="1:9" x14ac:dyDescent="0.2">
      <c r="A380">
        <v>8082783</v>
      </c>
      <c r="B380">
        <v>4</v>
      </c>
      <c r="C380" t="s">
        <v>931</v>
      </c>
      <c r="D380" t="s">
        <v>64</v>
      </c>
      <c r="E380" t="s">
        <v>146</v>
      </c>
      <c r="F380" t="s">
        <v>3</v>
      </c>
      <c r="G380" t="s">
        <v>146</v>
      </c>
      <c r="I380" t="str">
        <f t="shared" si="5"/>
        <v>TP</v>
      </c>
    </row>
    <row r="381" spans="1:9" x14ac:dyDescent="0.2">
      <c r="A381">
        <v>8082783</v>
      </c>
      <c r="B381">
        <v>4</v>
      </c>
      <c r="C381" t="s">
        <v>931</v>
      </c>
      <c r="D381" t="s">
        <v>76</v>
      </c>
      <c r="E381" t="s">
        <v>146</v>
      </c>
      <c r="F381" t="s">
        <v>3</v>
      </c>
      <c r="G381" t="s">
        <v>146</v>
      </c>
      <c r="I381" t="str">
        <f t="shared" si="5"/>
        <v>TP</v>
      </c>
    </row>
    <row r="382" spans="1:9" x14ac:dyDescent="0.2">
      <c r="A382">
        <v>8082783</v>
      </c>
      <c r="B382">
        <v>5</v>
      </c>
      <c r="C382" t="s">
        <v>932</v>
      </c>
      <c r="D382" t="s">
        <v>69</v>
      </c>
      <c r="E382" t="s">
        <v>1086</v>
      </c>
      <c r="F382" t="s">
        <v>38</v>
      </c>
      <c r="G382" t="s">
        <v>1086</v>
      </c>
      <c r="I382" t="str">
        <f t="shared" si="5"/>
        <v/>
      </c>
    </row>
    <row r="383" spans="1:9" x14ac:dyDescent="0.2">
      <c r="A383">
        <v>8082855</v>
      </c>
      <c r="B383">
        <v>0</v>
      </c>
      <c r="C383" t="s">
        <v>933</v>
      </c>
      <c r="D383" t="s">
        <v>934</v>
      </c>
      <c r="E383" t="s">
        <v>146</v>
      </c>
      <c r="F383" t="s">
        <v>44</v>
      </c>
      <c r="G383" t="s">
        <v>146</v>
      </c>
      <c r="I383" t="str">
        <f t="shared" si="5"/>
        <v>TP</v>
      </c>
    </row>
    <row r="384" spans="1:9" x14ac:dyDescent="0.2">
      <c r="A384">
        <v>8082855</v>
      </c>
      <c r="B384">
        <v>0</v>
      </c>
      <c r="C384" t="s">
        <v>933</v>
      </c>
      <c r="D384" t="s">
        <v>935</v>
      </c>
      <c r="E384" t="s">
        <v>146</v>
      </c>
      <c r="F384" t="s">
        <v>44</v>
      </c>
      <c r="G384" t="s">
        <v>146</v>
      </c>
      <c r="I384" t="str">
        <f t="shared" si="5"/>
        <v>TP</v>
      </c>
    </row>
    <row r="385" spans="1:9" x14ac:dyDescent="0.2">
      <c r="A385">
        <v>8082855</v>
      </c>
      <c r="B385">
        <v>1</v>
      </c>
      <c r="C385" t="s">
        <v>936</v>
      </c>
      <c r="D385" t="s">
        <v>937</v>
      </c>
      <c r="E385" t="s">
        <v>146</v>
      </c>
      <c r="F385" t="s">
        <v>44</v>
      </c>
      <c r="G385" t="s">
        <v>146</v>
      </c>
      <c r="I385" t="str">
        <f t="shared" si="5"/>
        <v>TP</v>
      </c>
    </row>
    <row r="386" spans="1:9" x14ac:dyDescent="0.2">
      <c r="A386">
        <v>8082855</v>
      </c>
      <c r="B386">
        <v>1</v>
      </c>
      <c r="C386" t="s">
        <v>936</v>
      </c>
      <c r="D386" t="s">
        <v>938</v>
      </c>
      <c r="E386" t="s">
        <v>146</v>
      </c>
      <c r="F386" t="s">
        <v>44</v>
      </c>
      <c r="G386" t="s">
        <v>146</v>
      </c>
      <c r="I386" t="str">
        <f t="shared" ref="I386:I449" si="6">IF(OR(E386="FP",G386="FP"),"FP",IF(AND(E386="TP",E386="TP"),"TP",""))</f>
        <v>TP</v>
      </c>
    </row>
    <row r="387" spans="1:9" x14ac:dyDescent="0.2">
      <c r="A387">
        <v>8082855</v>
      </c>
      <c r="B387">
        <v>2</v>
      </c>
      <c r="C387" t="s">
        <v>939</v>
      </c>
      <c r="D387" t="s">
        <v>940</v>
      </c>
      <c r="E387" t="s">
        <v>146</v>
      </c>
      <c r="F387" t="s">
        <v>44</v>
      </c>
      <c r="G387" t="s">
        <v>146</v>
      </c>
      <c r="I387" t="str">
        <f t="shared" si="6"/>
        <v>TP</v>
      </c>
    </row>
    <row r="388" spans="1:9" x14ac:dyDescent="0.2">
      <c r="A388">
        <v>8082855</v>
      </c>
      <c r="B388">
        <v>2</v>
      </c>
      <c r="C388" t="s">
        <v>939</v>
      </c>
      <c r="D388" t="s">
        <v>327</v>
      </c>
      <c r="E388" t="s">
        <v>146</v>
      </c>
      <c r="F388" t="s">
        <v>44</v>
      </c>
      <c r="G388" t="s">
        <v>146</v>
      </c>
      <c r="I388" t="str">
        <f t="shared" si="6"/>
        <v>TP</v>
      </c>
    </row>
    <row r="389" spans="1:9" x14ac:dyDescent="0.2">
      <c r="A389">
        <v>8082855</v>
      </c>
      <c r="B389">
        <v>2</v>
      </c>
      <c r="C389" t="s">
        <v>939</v>
      </c>
      <c r="D389" t="s">
        <v>941</v>
      </c>
      <c r="E389" t="s">
        <v>146</v>
      </c>
      <c r="F389" t="s">
        <v>44</v>
      </c>
      <c r="G389" t="s">
        <v>146</v>
      </c>
      <c r="I389" t="str">
        <f t="shared" si="6"/>
        <v>TP</v>
      </c>
    </row>
    <row r="390" spans="1:9" x14ac:dyDescent="0.2">
      <c r="A390">
        <v>8082855</v>
      </c>
      <c r="B390">
        <v>3</v>
      </c>
      <c r="C390" t="s">
        <v>942</v>
      </c>
      <c r="D390" t="s">
        <v>1108</v>
      </c>
      <c r="E390" t="s">
        <v>146</v>
      </c>
      <c r="F390" t="s">
        <v>44</v>
      </c>
      <c r="G390" t="s">
        <v>146</v>
      </c>
      <c r="I390" t="str">
        <f t="shared" si="6"/>
        <v>TP</v>
      </c>
    </row>
    <row r="391" spans="1:9" x14ac:dyDescent="0.2">
      <c r="A391">
        <v>8082855</v>
      </c>
      <c r="B391">
        <v>3</v>
      </c>
      <c r="C391" t="s">
        <v>942</v>
      </c>
      <c r="D391" t="s">
        <v>1107</v>
      </c>
      <c r="E391" t="s">
        <v>146</v>
      </c>
      <c r="F391" t="s">
        <v>44</v>
      </c>
      <c r="G391" t="s">
        <v>146</v>
      </c>
      <c r="I391" t="str">
        <f t="shared" si="6"/>
        <v>TP</v>
      </c>
    </row>
    <row r="392" spans="1:9" x14ac:dyDescent="0.2">
      <c r="A392">
        <v>8082855</v>
      </c>
      <c r="B392">
        <v>3</v>
      </c>
      <c r="C392" t="s">
        <v>942</v>
      </c>
      <c r="D392" t="s">
        <v>338</v>
      </c>
      <c r="E392" t="s">
        <v>146</v>
      </c>
      <c r="F392" t="s">
        <v>44</v>
      </c>
      <c r="G392" t="s">
        <v>146</v>
      </c>
      <c r="I392" t="str">
        <f t="shared" si="6"/>
        <v>TP</v>
      </c>
    </row>
    <row r="393" spans="1:9" x14ac:dyDescent="0.2">
      <c r="A393">
        <v>8082855</v>
      </c>
      <c r="B393">
        <v>4</v>
      </c>
      <c r="C393" t="s">
        <v>943</v>
      </c>
      <c r="D393" t="s">
        <v>940</v>
      </c>
      <c r="E393" t="s">
        <v>146</v>
      </c>
      <c r="F393" t="s">
        <v>44</v>
      </c>
      <c r="G393" t="s">
        <v>146</v>
      </c>
      <c r="I393" t="str">
        <f t="shared" si="6"/>
        <v>TP</v>
      </c>
    </row>
    <row r="394" spans="1:9" x14ac:dyDescent="0.2">
      <c r="A394">
        <v>8082855</v>
      </c>
      <c r="B394">
        <v>4</v>
      </c>
      <c r="C394" t="s">
        <v>943</v>
      </c>
      <c r="D394" t="s">
        <v>327</v>
      </c>
      <c r="E394" t="s">
        <v>146</v>
      </c>
      <c r="F394" t="s">
        <v>44</v>
      </c>
      <c r="G394" t="s">
        <v>146</v>
      </c>
      <c r="I394" t="str">
        <f t="shared" si="6"/>
        <v>TP</v>
      </c>
    </row>
    <row r="395" spans="1:9" x14ac:dyDescent="0.2">
      <c r="A395">
        <v>8082855</v>
      </c>
      <c r="B395">
        <v>5</v>
      </c>
      <c r="C395" t="s">
        <v>944</v>
      </c>
      <c r="D395" t="s">
        <v>327</v>
      </c>
      <c r="E395" t="s">
        <v>146</v>
      </c>
      <c r="F395" t="s">
        <v>44</v>
      </c>
      <c r="G395" t="s">
        <v>146</v>
      </c>
      <c r="I395" t="str">
        <f t="shared" si="6"/>
        <v>TP</v>
      </c>
    </row>
    <row r="396" spans="1:9" x14ac:dyDescent="0.2">
      <c r="A396">
        <v>8082855</v>
      </c>
      <c r="B396">
        <v>6</v>
      </c>
      <c r="C396" t="s">
        <v>945</v>
      </c>
      <c r="D396" t="s">
        <v>946</v>
      </c>
      <c r="E396" t="s">
        <v>146</v>
      </c>
      <c r="F396" t="s">
        <v>44</v>
      </c>
      <c r="G396" t="s">
        <v>146</v>
      </c>
      <c r="I396" t="str">
        <f t="shared" si="6"/>
        <v>TP</v>
      </c>
    </row>
    <row r="397" spans="1:9" x14ac:dyDescent="0.2">
      <c r="A397">
        <v>8161542</v>
      </c>
      <c r="B397">
        <v>0</v>
      </c>
      <c r="C397" t="s">
        <v>947</v>
      </c>
      <c r="D397" t="s">
        <v>948</v>
      </c>
      <c r="E397" t="s">
        <v>146</v>
      </c>
      <c r="F397" t="s">
        <v>44</v>
      </c>
      <c r="G397" t="s">
        <v>146</v>
      </c>
      <c r="I397" t="str">
        <f t="shared" si="6"/>
        <v>TP</v>
      </c>
    </row>
    <row r="398" spans="1:9" x14ac:dyDescent="0.2">
      <c r="A398">
        <v>8161542</v>
      </c>
      <c r="B398">
        <v>1</v>
      </c>
      <c r="C398" t="s">
        <v>949</v>
      </c>
      <c r="D398" t="s">
        <v>197</v>
      </c>
      <c r="E398" t="s">
        <v>1086</v>
      </c>
      <c r="F398" t="s">
        <v>38</v>
      </c>
      <c r="G398" t="s">
        <v>1086</v>
      </c>
      <c r="I398" t="str">
        <f t="shared" si="6"/>
        <v/>
      </c>
    </row>
    <row r="399" spans="1:9" x14ac:dyDescent="0.2">
      <c r="A399">
        <v>8161542</v>
      </c>
      <c r="B399">
        <v>2</v>
      </c>
      <c r="C399" t="s">
        <v>950</v>
      </c>
      <c r="I399" t="str">
        <f t="shared" si="6"/>
        <v/>
      </c>
    </row>
    <row r="400" spans="1:9" x14ac:dyDescent="0.2">
      <c r="A400">
        <v>8161542</v>
      </c>
      <c r="B400">
        <v>3</v>
      </c>
      <c r="C400" t="s">
        <v>951</v>
      </c>
      <c r="D400" t="s">
        <v>952</v>
      </c>
      <c r="E400" t="s">
        <v>146</v>
      </c>
      <c r="F400" t="s">
        <v>44</v>
      </c>
      <c r="G400" t="s">
        <v>146</v>
      </c>
      <c r="I400" t="str">
        <f t="shared" si="6"/>
        <v>TP</v>
      </c>
    </row>
    <row r="401" spans="1:10" x14ac:dyDescent="0.2">
      <c r="A401">
        <v>8161542</v>
      </c>
      <c r="B401">
        <v>3</v>
      </c>
      <c r="C401" t="s">
        <v>951</v>
      </c>
      <c r="D401" t="s">
        <v>953</v>
      </c>
      <c r="E401" t="s">
        <v>146</v>
      </c>
      <c r="F401" t="s">
        <v>44</v>
      </c>
      <c r="G401" t="s">
        <v>146</v>
      </c>
      <c r="I401" t="str">
        <f t="shared" si="6"/>
        <v>TP</v>
      </c>
    </row>
    <row r="402" spans="1:10" x14ac:dyDescent="0.2">
      <c r="A402">
        <v>8161542</v>
      </c>
      <c r="B402">
        <v>3</v>
      </c>
      <c r="C402" t="s">
        <v>951</v>
      </c>
      <c r="D402" t="s">
        <v>954</v>
      </c>
      <c r="E402" t="s">
        <v>146</v>
      </c>
      <c r="F402" t="s">
        <v>99</v>
      </c>
      <c r="G402" t="s">
        <v>146</v>
      </c>
      <c r="H402" t="s">
        <v>1109</v>
      </c>
      <c r="I402" t="str">
        <f t="shared" si="6"/>
        <v>TP</v>
      </c>
      <c r="J402" t="s">
        <v>1993</v>
      </c>
    </row>
    <row r="403" spans="1:10" x14ac:dyDescent="0.2">
      <c r="A403">
        <v>8161542</v>
      </c>
      <c r="B403">
        <v>3</v>
      </c>
      <c r="C403" t="s">
        <v>951</v>
      </c>
      <c r="D403" t="s">
        <v>955</v>
      </c>
      <c r="E403" t="s">
        <v>1086</v>
      </c>
      <c r="F403" t="s">
        <v>44</v>
      </c>
      <c r="G403" t="s">
        <v>1086</v>
      </c>
      <c r="I403" t="str">
        <f t="shared" si="6"/>
        <v/>
      </c>
    </row>
    <row r="404" spans="1:10" x14ac:dyDescent="0.2">
      <c r="A404">
        <v>8161542</v>
      </c>
      <c r="B404">
        <v>3</v>
      </c>
      <c r="C404" t="s">
        <v>951</v>
      </c>
      <c r="D404" t="s">
        <v>956</v>
      </c>
      <c r="E404" t="s">
        <v>1086</v>
      </c>
      <c r="F404" t="s">
        <v>44</v>
      </c>
      <c r="G404" t="s">
        <v>1086</v>
      </c>
      <c r="I404" t="str">
        <f t="shared" si="6"/>
        <v/>
      </c>
    </row>
    <row r="405" spans="1:10" x14ac:dyDescent="0.2">
      <c r="A405">
        <v>8161542</v>
      </c>
      <c r="B405">
        <v>4</v>
      </c>
      <c r="C405" t="s">
        <v>957</v>
      </c>
      <c r="D405" t="s">
        <v>958</v>
      </c>
      <c r="E405" t="s">
        <v>146</v>
      </c>
      <c r="F405" t="s">
        <v>61</v>
      </c>
      <c r="G405" t="s">
        <v>146</v>
      </c>
      <c r="I405" t="str">
        <f t="shared" si="6"/>
        <v>TP</v>
      </c>
    </row>
    <row r="406" spans="1:10" x14ac:dyDescent="0.2">
      <c r="A406">
        <v>8161542</v>
      </c>
      <c r="B406">
        <v>4</v>
      </c>
      <c r="C406" t="s">
        <v>957</v>
      </c>
      <c r="D406" t="s">
        <v>122</v>
      </c>
      <c r="E406" t="s">
        <v>146</v>
      </c>
      <c r="F406" t="s">
        <v>61</v>
      </c>
      <c r="G406" t="s">
        <v>146</v>
      </c>
      <c r="I406" t="str">
        <f t="shared" si="6"/>
        <v>TP</v>
      </c>
    </row>
    <row r="407" spans="1:10" x14ac:dyDescent="0.2">
      <c r="A407">
        <v>8161542</v>
      </c>
      <c r="B407">
        <v>4</v>
      </c>
      <c r="C407" t="s">
        <v>957</v>
      </c>
      <c r="D407" t="s">
        <v>959</v>
      </c>
      <c r="E407" t="s">
        <v>1086</v>
      </c>
      <c r="F407" t="s">
        <v>38</v>
      </c>
      <c r="G407" t="s">
        <v>1086</v>
      </c>
      <c r="I407" t="str">
        <f t="shared" si="6"/>
        <v/>
      </c>
    </row>
    <row r="408" spans="1:10" x14ac:dyDescent="0.2">
      <c r="A408">
        <v>8161542</v>
      </c>
      <c r="B408">
        <v>5</v>
      </c>
      <c r="C408" t="s">
        <v>960</v>
      </c>
      <c r="I408" t="str">
        <f t="shared" si="6"/>
        <v/>
      </c>
    </row>
    <row r="409" spans="1:10" x14ac:dyDescent="0.2">
      <c r="A409">
        <v>8161542</v>
      </c>
      <c r="B409">
        <v>6</v>
      </c>
      <c r="C409" t="s">
        <v>961</v>
      </c>
      <c r="I409" t="str">
        <f t="shared" si="6"/>
        <v/>
      </c>
    </row>
    <row r="410" spans="1:10" x14ac:dyDescent="0.2">
      <c r="A410">
        <v>8161542</v>
      </c>
      <c r="B410">
        <v>7</v>
      </c>
      <c r="C410" t="s">
        <v>962</v>
      </c>
      <c r="D410" t="s">
        <v>963</v>
      </c>
      <c r="E410" t="s">
        <v>146</v>
      </c>
      <c r="F410" t="s">
        <v>44</v>
      </c>
      <c r="G410" t="s">
        <v>146</v>
      </c>
      <c r="I410" t="str">
        <f t="shared" si="6"/>
        <v>TP</v>
      </c>
    </row>
    <row r="411" spans="1:10" x14ac:dyDescent="0.2">
      <c r="A411">
        <v>8161542</v>
      </c>
      <c r="B411">
        <v>7</v>
      </c>
      <c r="C411" t="s">
        <v>962</v>
      </c>
      <c r="D411" t="s">
        <v>122</v>
      </c>
      <c r="E411" t="s">
        <v>146</v>
      </c>
      <c r="F411" t="s">
        <v>61</v>
      </c>
      <c r="G411" t="s">
        <v>146</v>
      </c>
      <c r="I411" t="str">
        <f t="shared" si="6"/>
        <v>TP</v>
      </c>
    </row>
    <row r="412" spans="1:10" x14ac:dyDescent="0.2">
      <c r="A412">
        <v>8161542</v>
      </c>
      <c r="B412">
        <v>7</v>
      </c>
      <c r="C412" t="s">
        <v>962</v>
      </c>
      <c r="D412" t="s">
        <v>964</v>
      </c>
      <c r="E412" t="s">
        <v>167</v>
      </c>
      <c r="F412" t="s">
        <v>44</v>
      </c>
      <c r="G412" t="s">
        <v>167</v>
      </c>
      <c r="I412" t="str">
        <f t="shared" si="6"/>
        <v>FP</v>
      </c>
    </row>
    <row r="413" spans="1:10" x14ac:dyDescent="0.2">
      <c r="A413">
        <v>8161542</v>
      </c>
      <c r="B413">
        <v>8</v>
      </c>
      <c r="C413" t="s">
        <v>965</v>
      </c>
      <c r="D413" t="s">
        <v>966</v>
      </c>
      <c r="E413" t="s">
        <v>146</v>
      </c>
      <c r="F413" t="s">
        <v>61</v>
      </c>
      <c r="G413" t="s">
        <v>146</v>
      </c>
      <c r="I413" t="str">
        <f t="shared" si="6"/>
        <v>TP</v>
      </c>
    </row>
    <row r="414" spans="1:10" x14ac:dyDescent="0.2">
      <c r="A414">
        <v>8161542</v>
      </c>
      <c r="B414">
        <v>8</v>
      </c>
      <c r="C414" t="s">
        <v>965</v>
      </c>
      <c r="D414" t="s">
        <v>624</v>
      </c>
      <c r="E414" t="s">
        <v>146</v>
      </c>
      <c r="F414" t="s">
        <v>44</v>
      </c>
      <c r="G414" t="s">
        <v>146</v>
      </c>
      <c r="I414" t="str">
        <f t="shared" si="6"/>
        <v>TP</v>
      </c>
    </row>
    <row r="415" spans="1:10" x14ac:dyDescent="0.2">
      <c r="A415">
        <v>8161542</v>
      </c>
      <c r="B415">
        <v>9</v>
      </c>
      <c r="C415" t="s">
        <v>967</v>
      </c>
      <c r="I415" t="str">
        <f t="shared" si="6"/>
        <v/>
      </c>
    </row>
    <row r="416" spans="1:10" x14ac:dyDescent="0.2">
      <c r="A416">
        <v>7945223</v>
      </c>
      <c r="B416">
        <v>0</v>
      </c>
      <c r="C416" t="s">
        <v>968</v>
      </c>
      <c r="D416" t="s">
        <v>969</v>
      </c>
      <c r="E416" t="s">
        <v>146</v>
      </c>
      <c r="F416" t="s">
        <v>3</v>
      </c>
      <c r="G416" t="s">
        <v>146</v>
      </c>
      <c r="I416" t="str">
        <f t="shared" si="6"/>
        <v>TP</v>
      </c>
    </row>
    <row r="417" spans="1:9" x14ac:dyDescent="0.2">
      <c r="A417">
        <v>7945223</v>
      </c>
      <c r="B417">
        <v>0</v>
      </c>
      <c r="C417" t="s">
        <v>968</v>
      </c>
      <c r="D417" t="s">
        <v>72</v>
      </c>
      <c r="E417" t="s">
        <v>146</v>
      </c>
      <c r="F417" t="s">
        <v>3</v>
      </c>
      <c r="G417" t="s">
        <v>146</v>
      </c>
      <c r="I417" t="str">
        <f t="shared" si="6"/>
        <v>TP</v>
      </c>
    </row>
    <row r="418" spans="1:9" x14ac:dyDescent="0.2">
      <c r="A418">
        <v>7945223</v>
      </c>
      <c r="B418">
        <v>0</v>
      </c>
      <c r="C418" t="s">
        <v>968</v>
      </c>
      <c r="D418" t="s">
        <v>970</v>
      </c>
      <c r="E418" t="s">
        <v>146</v>
      </c>
      <c r="F418" t="s">
        <v>3</v>
      </c>
      <c r="G418" t="s">
        <v>146</v>
      </c>
      <c r="I418" t="str">
        <f t="shared" si="6"/>
        <v>TP</v>
      </c>
    </row>
    <row r="419" spans="1:9" x14ac:dyDescent="0.2">
      <c r="A419">
        <v>7945223</v>
      </c>
      <c r="B419">
        <v>1</v>
      </c>
      <c r="C419" t="s">
        <v>971</v>
      </c>
      <c r="D419" t="s">
        <v>57</v>
      </c>
      <c r="E419" t="s">
        <v>1086</v>
      </c>
      <c r="F419" t="s">
        <v>38</v>
      </c>
      <c r="G419" t="s">
        <v>1086</v>
      </c>
      <c r="I419" t="str">
        <f t="shared" si="6"/>
        <v/>
      </c>
    </row>
    <row r="420" spans="1:9" x14ac:dyDescent="0.2">
      <c r="A420">
        <v>7945223</v>
      </c>
      <c r="B420">
        <v>1</v>
      </c>
      <c r="C420" t="s">
        <v>971</v>
      </c>
      <c r="D420" t="s">
        <v>57</v>
      </c>
      <c r="E420" t="s">
        <v>1086</v>
      </c>
      <c r="F420" t="s">
        <v>38</v>
      </c>
      <c r="G420" t="s">
        <v>1086</v>
      </c>
      <c r="I420" t="str">
        <f t="shared" si="6"/>
        <v/>
      </c>
    </row>
    <row r="421" spans="1:9" x14ac:dyDescent="0.2">
      <c r="A421">
        <v>7945223</v>
      </c>
      <c r="B421">
        <v>2</v>
      </c>
      <c r="C421" t="s">
        <v>972</v>
      </c>
      <c r="D421" t="s">
        <v>69</v>
      </c>
      <c r="E421" t="s">
        <v>1086</v>
      </c>
      <c r="F421" t="s">
        <v>38</v>
      </c>
      <c r="G421" t="s">
        <v>1086</v>
      </c>
      <c r="I421" t="str">
        <f t="shared" si="6"/>
        <v/>
      </c>
    </row>
    <row r="422" spans="1:9" x14ac:dyDescent="0.2">
      <c r="A422">
        <v>7945223</v>
      </c>
      <c r="B422">
        <v>2</v>
      </c>
      <c r="C422" t="s">
        <v>972</v>
      </c>
      <c r="D422" t="s">
        <v>72</v>
      </c>
      <c r="E422" t="s">
        <v>146</v>
      </c>
      <c r="F422" t="s">
        <v>3</v>
      </c>
      <c r="G422" t="s">
        <v>146</v>
      </c>
      <c r="I422" t="str">
        <f t="shared" si="6"/>
        <v>TP</v>
      </c>
    </row>
    <row r="423" spans="1:9" x14ac:dyDescent="0.2">
      <c r="A423">
        <v>7945223</v>
      </c>
      <c r="B423">
        <v>3</v>
      </c>
      <c r="C423" t="s">
        <v>973</v>
      </c>
      <c r="H423" t="s">
        <v>1110</v>
      </c>
      <c r="I423" t="str">
        <f t="shared" si="6"/>
        <v/>
      </c>
    </row>
    <row r="424" spans="1:9" x14ac:dyDescent="0.2">
      <c r="A424">
        <v>7945223</v>
      </c>
      <c r="B424">
        <v>4</v>
      </c>
      <c r="C424" t="s">
        <v>974</v>
      </c>
      <c r="D424" t="s">
        <v>975</v>
      </c>
      <c r="E424" t="s">
        <v>146</v>
      </c>
      <c r="F424" t="s">
        <v>3</v>
      </c>
      <c r="G424" t="s">
        <v>146</v>
      </c>
      <c r="I424" t="str">
        <f t="shared" si="6"/>
        <v>TP</v>
      </c>
    </row>
    <row r="425" spans="1:9" x14ac:dyDescent="0.2">
      <c r="A425">
        <v>7945223</v>
      </c>
      <c r="B425">
        <v>5</v>
      </c>
      <c r="C425" t="s">
        <v>976</v>
      </c>
      <c r="D425" t="s">
        <v>57</v>
      </c>
      <c r="E425" t="s">
        <v>1086</v>
      </c>
      <c r="F425" t="s">
        <v>38</v>
      </c>
      <c r="G425" t="s">
        <v>1086</v>
      </c>
      <c r="I425" t="str">
        <f t="shared" si="6"/>
        <v/>
      </c>
    </row>
    <row r="426" spans="1:9" x14ac:dyDescent="0.2">
      <c r="A426">
        <v>7945223</v>
      </c>
      <c r="B426">
        <v>6</v>
      </c>
      <c r="C426" t="s">
        <v>977</v>
      </c>
      <c r="D426" t="s">
        <v>969</v>
      </c>
      <c r="E426" t="s">
        <v>146</v>
      </c>
      <c r="F426" t="s">
        <v>3</v>
      </c>
      <c r="G426" t="s">
        <v>146</v>
      </c>
      <c r="I426" t="str">
        <f t="shared" si="6"/>
        <v>TP</v>
      </c>
    </row>
    <row r="427" spans="1:9" x14ac:dyDescent="0.2">
      <c r="A427">
        <v>7945223</v>
      </c>
      <c r="B427">
        <v>6</v>
      </c>
      <c r="C427" t="s">
        <v>977</v>
      </c>
      <c r="D427" t="s">
        <v>970</v>
      </c>
      <c r="E427" t="s">
        <v>146</v>
      </c>
      <c r="F427" t="s">
        <v>3</v>
      </c>
      <c r="G427" t="s">
        <v>146</v>
      </c>
      <c r="I427" t="str">
        <f t="shared" si="6"/>
        <v>TP</v>
      </c>
    </row>
    <row r="428" spans="1:9" x14ac:dyDescent="0.2">
      <c r="A428">
        <v>7945223</v>
      </c>
      <c r="B428">
        <v>7</v>
      </c>
      <c r="C428" t="s">
        <v>978</v>
      </c>
      <c r="D428" t="s">
        <v>72</v>
      </c>
      <c r="E428" t="s">
        <v>146</v>
      </c>
      <c r="F428" t="s">
        <v>3</v>
      </c>
      <c r="G428" t="s">
        <v>146</v>
      </c>
      <c r="I428" t="str">
        <f t="shared" si="6"/>
        <v>TP</v>
      </c>
    </row>
    <row r="429" spans="1:9" x14ac:dyDescent="0.2">
      <c r="A429">
        <v>8496625</v>
      </c>
      <c r="B429">
        <v>0</v>
      </c>
      <c r="C429" t="s">
        <v>979</v>
      </c>
      <c r="D429" t="s">
        <v>980</v>
      </c>
      <c r="E429" t="s">
        <v>146</v>
      </c>
      <c r="F429" t="s">
        <v>3</v>
      </c>
      <c r="G429" t="s">
        <v>146</v>
      </c>
      <c r="I429" t="str">
        <f t="shared" si="6"/>
        <v>TP</v>
      </c>
    </row>
    <row r="430" spans="1:9" x14ac:dyDescent="0.2">
      <c r="A430">
        <v>8496625</v>
      </c>
      <c r="B430">
        <v>1</v>
      </c>
      <c r="C430" t="s">
        <v>981</v>
      </c>
      <c r="D430" t="s">
        <v>980</v>
      </c>
      <c r="E430" t="s">
        <v>146</v>
      </c>
      <c r="F430" t="s">
        <v>3</v>
      </c>
      <c r="G430" t="s">
        <v>146</v>
      </c>
      <c r="I430" t="str">
        <f t="shared" si="6"/>
        <v>TP</v>
      </c>
    </row>
    <row r="431" spans="1:9" x14ac:dyDescent="0.2">
      <c r="A431">
        <v>8496625</v>
      </c>
      <c r="B431">
        <v>1</v>
      </c>
      <c r="C431" t="s">
        <v>981</v>
      </c>
      <c r="D431" t="s">
        <v>57</v>
      </c>
      <c r="E431" t="s">
        <v>1086</v>
      </c>
      <c r="F431" t="s">
        <v>38</v>
      </c>
      <c r="G431" t="s">
        <v>1086</v>
      </c>
      <c r="I431" t="str">
        <f t="shared" si="6"/>
        <v/>
      </c>
    </row>
    <row r="432" spans="1:9" x14ac:dyDescent="0.2">
      <c r="A432">
        <v>8496625</v>
      </c>
      <c r="B432">
        <v>2</v>
      </c>
      <c r="C432" t="s">
        <v>982</v>
      </c>
      <c r="D432" t="s">
        <v>85</v>
      </c>
      <c r="E432" t="s">
        <v>146</v>
      </c>
      <c r="F432" t="s">
        <v>3</v>
      </c>
      <c r="G432" t="s">
        <v>146</v>
      </c>
      <c r="I432" t="str">
        <f t="shared" si="6"/>
        <v>TP</v>
      </c>
    </row>
    <row r="433" spans="1:9" x14ac:dyDescent="0.2">
      <c r="A433">
        <v>8496625</v>
      </c>
      <c r="B433">
        <v>3</v>
      </c>
      <c r="C433" t="s">
        <v>983</v>
      </c>
      <c r="D433" t="s">
        <v>85</v>
      </c>
      <c r="E433" t="s">
        <v>146</v>
      </c>
      <c r="F433" t="s">
        <v>3</v>
      </c>
      <c r="G433" t="s">
        <v>146</v>
      </c>
      <c r="I433" t="str">
        <f t="shared" si="6"/>
        <v>TP</v>
      </c>
    </row>
    <row r="434" spans="1:9" x14ac:dyDescent="0.2">
      <c r="A434">
        <v>8496625</v>
      </c>
      <c r="B434">
        <v>3</v>
      </c>
      <c r="C434" t="s">
        <v>983</v>
      </c>
      <c r="D434" t="s">
        <v>85</v>
      </c>
      <c r="E434" t="s">
        <v>146</v>
      </c>
      <c r="F434" t="s">
        <v>3</v>
      </c>
      <c r="G434" t="s">
        <v>146</v>
      </c>
      <c r="I434" t="str">
        <f t="shared" si="6"/>
        <v>TP</v>
      </c>
    </row>
    <row r="435" spans="1:9" x14ac:dyDescent="0.2">
      <c r="A435">
        <v>8496625</v>
      </c>
      <c r="B435">
        <v>4</v>
      </c>
      <c r="C435" t="s">
        <v>984</v>
      </c>
      <c r="D435" t="s">
        <v>85</v>
      </c>
      <c r="E435" t="s">
        <v>146</v>
      </c>
      <c r="F435" t="s">
        <v>3</v>
      </c>
      <c r="G435" t="s">
        <v>146</v>
      </c>
      <c r="I435" t="str">
        <f t="shared" si="6"/>
        <v>TP</v>
      </c>
    </row>
    <row r="436" spans="1:9" x14ac:dyDescent="0.2">
      <c r="A436">
        <v>8496625</v>
      </c>
      <c r="B436">
        <v>5</v>
      </c>
      <c r="C436" t="s">
        <v>985</v>
      </c>
      <c r="D436" t="s">
        <v>85</v>
      </c>
      <c r="E436" t="s">
        <v>146</v>
      </c>
      <c r="F436" t="s">
        <v>3</v>
      </c>
      <c r="G436" t="s">
        <v>146</v>
      </c>
      <c r="I436" t="str">
        <f t="shared" si="6"/>
        <v>TP</v>
      </c>
    </row>
    <row r="437" spans="1:9" x14ac:dyDescent="0.2">
      <c r="A437">
        <v>8496625</v>
      </c>
      <c r="B437">
        <v>6</v>
      </c>
      <c r="C437" t="s">
        <v>986</v>
      </c>
      <c r="D437" t="s">
        <v>85</v>
      </c>
      <c r="E437" t="s">
        <v>146</v>
      </c>
      <c r="F437" t="s">
        <v>3</v>
      </c>
      <c r="G437" t="s">
        <v>146</v>
      </c>
      <c r="I437" t="str">
        <f t="shared" si="6"/>
        <v>TP</v>
      </c>
    </row>
    <row r="438" spans="1:9" x14ac:dyDescent="0.2">
      <c r="A438">
        <v>8496625</v>
      </c>
      <c r="B438">
        <v>7</v>
      </c>
      <c r="C438" t="s">
        <v>987</v>
      </c>
      <c r="D438" t="s">
        <v>74</v>
      </c>
      <c r="E438" t="s">
        <v>146</v>
      </c>
      <c r="F438" t="s">
        <v>3</v>
      </c>
      <c r="G438" t="s">
        <v>146</v>
      </c>
      <c r="I438" t="str">
        <f t="shared" si="6"/>
        <v>TP</v>
      </c>
    </row>
    <row r="439" spans="1:9" x14ac:dyDescent="0.2">
      <c r="A439">
        <v>8496625</v>
      </c>
      <c r="B439">
        <v>7</v>
      </c>
      <c r="C439" t="s">
        <v>987</v>
      </c>
      <c r="D439" t="s">
        <v>988</v>
      </c>
      <c r="E439" t="s">
        <v>146</v>
      </c>
      <c r="F439" t="s">
        <v>3</v>
      </c>
      <c r="G439" t="s">
        <v>146</v>
      </c>
      <c r="I439" t="str">
        <f t="shared" si="6"/>
        <v>TP</v>
      </c>
    </row>
    <row r="440" spans="1:9" x14ac:dyDescent="0.2">
      <c r="A440">
        <v>8496625</v>
      </c>
      <c r="B440">
        <v>7</v>
      </c>
      <c r="C440" t="s">
        <v>987</v>
      </c>
      <c r="D440" t="s">
        <v>72</v>
      </c>
      <c r="E440" t="s">
        <v>146</v>
      </c>
      <c r="F440" t="s">
        <v>3</v>
      </c>
      <c r="G440" t="s">
        <v>146</v>
      </c>
      <c r="I440" t="str">
        <f t="shared" si="6"/>
        <v>TP</v>
      </c>
    </row>
    <row r="441" spans="1:9" x14ac:dyDescent="0.2">
      <c r="A441">
        <v>8496625</v>
      </c>
      <c r="B441">
        <v>8</v>
      </c>
      <c r="C441" t="s">
        <v>989</v>
      </c>
      <c r="D441" t="s">
        <v>990</v>
      </c>
      <c r="E441" t="s">
        <v>146</v>
      </c>
      <c r="F441" t="s">
        <v>3</v>
      </c>
      <c r="G441" t="s">
        <v>146</v>
      </c>
      <c r="I441" t="str">
        <f t="shared" si="6"/>
        <v>TP</v>
      </c>
    </row>
    <row r="442" spans="1:9" x14ac:dyDescent="0.2">
      <c r="A442">
        <v>8496625</v>
      </c>
      <c r="B442">
        <v>8</v>
      </c>
      <c r="C442" t="s">
        <v>989</v>
      </c>
      <c r="D442" t="s">
        <v>64</v>
      </c>
      <c r="E442" t="s">
        <v>146</v>
      </c>
      <c r="F442" t="s">
        <v>3</v>
      </c>
      <c r="G442" t="s">
        <v>146</v>
      </c>
      <c r="I442" t="str">
        <f t="shared" si="6"/>
        <v>TP</v>
      </c>
    </row>
    <row r="443" spans="1:9" x14ac:dyDescent="0.2">
      <c r="A443">
        <v>8496625</v>
      </c>
      <c r="B443">
        <v>8</v>
      </c>
      <c r="C443" t="s">
        <v>989</v>
      </c>
      <c r="D443" t="s">
        <v>227</v>
      </c>
      <c r="E443" t="s">
        <v>146</v>
      </c>
      <c r="F443" t="s">
        <v>61</v>
      </c>
      <c r="G443" t="s">
        <v>146</v>
      </c>
      <c r="I443" t="str">
        <f t="shared" si="6"/>
        <v>TP</v>
      </c>
    </row>
    <row r="444" spans="1:9" x14ac:dyDescent="0.2">
      <c r="A444">
        <v>8496625</v>
      </c>
      <c r="B444">
        <v>9</v>
      </c>
      <c r="C444" t="s">
        <v>991</v>
      </c>
      <c r="D444" t="s">
        <v>85</v>
      </c>
      <c r="E444" t="s">
        <v>146</v>
      </c>
      <c r="F444" t="s">
        <v>3</v>
      </c>
      <c r="G444" t="s">
        <v>146</v>
      </c>
      <c r="I444" t="str">
        <f t="shared" si="6"/>
        <v>TP</v>
      </c>
    </row>
    <row r="445" spans="1:9" x14ac:dyDescent="0.2">
      <c r="A445">
        <v>8496625</v>
      </c>
      <c r="B445">
        <v>10</v>
      </c>
      <c r="C445" t="s">
        <v>992</v>
      </c>
      <c r="D445" t="s">
        <v>15</v>
      </c>
      <c r="E445" t="s">
        <v>146</v>
      </c>
      <c r="F445" t="s">
        <v>3</v>
      </c>
      <c r="G445" t="s">
        <v>146</v>
      </c>
      <c r="I445" t="str">
        <f t="shared" si="6"/>
        <v>TP</v>
      </c>
    </row>
    <row r="446" spans="1:9" x14ac:dyDescent="0.2">
      <c r="A446">
        <v>8496625</v>
      </c>
      <c r="B446">
        <v>10</v>
      </c>
      <c r="C446" t="s">
        <v>992</v>
      </c>
      <c r="D446" t="s">
        <v>69</v>
      </c>
      <c r="E446" t="s">
        <v>1086</v>
      </c>
      <c r="F446" t="s">
        <v>38</v>
      </c>
      <c r="G446" t="s">
        <v>1086</v>
      </c>
      <c r="I446" t="str">
        <f t="shared" si="6"/>
        <v/>
      </c>
    </row>
    <row r="447" spans="1:9" x14ac:dyDescent="0.2">
      <c r="A447">
        <v>8496625</v>
      </c>
      <c r="B447">
        <v>10</v>
      </c>
      <c r="C447" t="s">
        <v>992</v>
      </c>
      <c r="D447" t="s">
        <v>72</v>
      </c>
      <c r="E447" t="s">
        <v>146</v>
      </c>
      <c r="F447" t="s">
        <v>3</v>
      </c>
      <c r="G447" t="s">
        <v>146</v>
      </c>
      <c r="H447" t="s">
        <v>1111</v>
      </c>
      <c r="I447" t="str">
        <f t="shared" si="6"/>
        <v>TP</v>
      </c>
    </row>
    <row r="448" spans="1:9" x14ac:dyDescent="0.2">
      <c r="A448">
        <v>8601603</v>
      </c>
      <c r="B448">
        <v>0</v>
      </c>
      <c r="C448" t="s">
        <v>993</v>
      </c>
      <c r="D448" t="s">
        <v>994</v>
      </c>
      <c r="E448" t="s">
        <v>146</v>
      </c>
      <c r="F448" t="s">
        <v>3</v>
      </c>
      <c r="G448" t="s">
        <v>146</v>
      </c>
      <c r="I448" t="str">
        <f t="shared" si="6"/>
        <v>TP</v>
      </c>
    </row>
    <row r="449" spans="1:9" x14ac:dyDescent="0.2">
      <c r="A449">
        <v>8601603</v>
      </c>
      <c r="B449">
        <v>0</v>
      </c>
      <c r="C449" t="s">
        <v>993</v>
      </c>
      <c r="D449" t="s">
        <v>208</v>
      </c>
      <c r="E449" t="s">
        <v>1086</v>
      </c>
      <c r="F449" t="s">
        <v>38</v>
      </c>
      <c r="G449" t="s">
        <v>1086</v>
      </c>
      <c r="I449" t="str">
        <f t="shared" si="6"/>
        <v/>
      </c>
    </row>
    <row r="450" spans="1:9" x14ac:dyDescent="0.2">
      <c r="A450">
        <v>8601603</v>
      </c>
      <c r="B450">
        <v>1</v>
      </c>
      <c r="C450" t="s">
        <v>995</v>
      </c>
      <c r="D450" t="s">
        <v>7</v>
      </c>
      <c r="E450" t="s">
        <v>146</v>
      </c>
      <c r="F450" t="s">
        <v>3</v>
      </c>
      <c r="G450" t="s">
        <v>146</v>
      </c>
      <c r="I450" t="str">
        <f t="shared" ref="I450:I513" si="7">IF(OR(E450="FP",G450="FP"),"FP",IF(AND(E450="TP",E450="TP"),"TP",""))</f>
        <v>TP</v>
      </c>
    </row>
    <row r="451" spans="1:9" x14ac:dyDescent="0.2">
      <c r="A451">
        <v>8601603</v>
      </c>
      <c r="B451">
        <v>1</v>
      </c>
      <c r="C451" t="s">
        <v>995</v>
      </c>
      <c r="D451" t="s">
        <v>208</v>
      </c>
      <c r="E451" t="s">
        <v>1086</v>
      </c>
      <c r="F451" t="s">
        <v>38</v>
      </c>
      <c r="G451" t="s">
        <v>1086</v>
      </c>
      <c r="I451" t="str">
        <f t="shared" si="7"/>
        <v/>
      </c>
    </row>
    <row r="452" spans="1:9" x14ac:dyDescent="0.2">
      <c r="A452">
        <v>8601603</v>
      </c>
      <c r="B452">
        <v>2</v>
      </c>
      <c r="C452" t="s">
        <v>996</v>
      </c>
      <c r="D452" t="s">
        <v>664</v>
      </c>
      <c r="E452" t="s">
        <v>146</v>
      </c>
      <c r="F452" t="s">
        <v>61</v>
      </c>
      <c r="G452" t="s">
        <v>146</v>
      </c>
      <c r="I452" t="str">
        <f t="shared" si="7"/>
        <v>TP</v>
      </c>
    </row>
    <row r="453" spans="1:9" x14ac:dyDescent="0.2">
      <c r="A453">
        <v>8601603</v>
      </c>
      <c r="B453">
        <v>3</v>
      </c>
      <c r="C453" t="s">
        <v>997</v>
      </c>
      <c r="D453" t="s">
        <v>234</v>
      </c>
      <c r="E453" t="s">
        <v>146</v>
      </c>
      <c r="F453" t="s">
        <v>3</v>
      </c>
      <c r="G453" t="s">
        <v>146</v>
      </c>
      <c r="I453" t="str">
        <f t="shared" si="7"/>
        <v>TP</v>
      </c>
    </row>
    <row r="454" spans="1:9" x14ac:dyDescent="0.2">
      <c r="A454">
        <v>8601603</v>
      </c>
      <c r="B454">
        <v>3</v>
      </c>
      <c r="C454" t="s">
        <v>997</v>
      </c>
      <c r="D454" t="s">
        <v>753</v>
      </c>
      <c r="E454" t="s">
        <v>146</v>
      </c>
      <c r="F454" t="s">
        <v>3</v>
      </c>
      <c r="G454" t="s">
        <v>146</v>
      </c>
      <c r="I454" t="str">
        <f t="shared" si="7"/>
        <v>TP</v>
      </c>
    </row>
    <row r="455" spans="1:9" x14ac:dyDescent="0.2">
      <c r="A455">
        <v>8601603</v>
      </c>
      <c r="B455">
        <v>4</v>
      </c>
      <c r="C455" t="s">
        <v>998</v>
      </c>
      <c r="D455" t="s">
        <v>999</v>
      </c>
      <c r="E455" t="s">
        <v>146</v>
      </c>
      <c r="F455" t="s">
        <v>3</v>
      </c>
      <c r="G455" t="s">
        <v>146</v>
      </c>
      <c r="I455" t="str">
        <f t="shared" si="7"/>
        <v>TP</v>
      </c>
    </row>
    <row r="456" spans="1:9" x14ac:dyDescent="0.2">
      <c r="A456">
        <v>8601603</v>
      </c>
      <c r="B456">
        <v>5</v>
      </c>
      <c r="C456" t="s">
        <v>1000</v>
      </c>
      <c r="D456" t="s">
        <v>1001</v>
      </c>
      <c r="E456" t="s">
        <v>146</v>
      </c>
      <c r="F456" t="s">
        <v>3</v>
      </c>
      <c r="G456" t="s">
        <v>146</v>
      </c>
      <c r="I456" t="str">
        <f t="shared" si="7"/>
        <v>TP</v>
      </c>
    </row>
    <row r="457" spans="1:9" x14ac:dyDescent="0.2">
      <c r="A457">
        <v>8601603</v>
      </c>
      <c r="B457">
        <v>5</v>
      </c>
      <c r="C457" t="s">
        <v>1000</v>
      </c>
      <c r="D457" t="s">
        <v>1002</v>
      </c>
      <c r="E457" t="s">
        <v>146</v>
      </c>
      <c r="F457" t="s">
        <v>3</v>
      </c>
      <c r="G457" t="s">
        <v>146</v>
      </c>
      <c r="I457" t="str">
        <f t="shared" si="7"/>
        <v>TP</v>
      </c>
    </row>
    <row r="458" spans="1:9" x14ac:dyDescent="0.2">
      <c r="A458">
        <v>8601603</v>
      </c>
      <c r="B458">
        <v>5</v>
      </c>
      <c r="C458" t="s">
        <v>1000</v>
      </c>
      <c r="D458" t="s">
        <v>241</v>
      </c>
      <c r="E458" t="s">
        <v>146</v>
      </c>
      <c r="F458" t="s">
        <v>3</v>
      </c>
      <c r="G458" t="s">
        <v>146</v>
      </c>
      <c r="I458" t="str">
        <f t="shared" si="7"/>
        <v>TP</v>
      </c>
    </row>
    <row r="459" spans="1:9" x14ac:dyDescent="0.2">
      <c r="A459">
        <v>8601603</v>
      </c>
      <c r="B459">
        <v>5</v>
      </c>
      <c r="C459" t="s">
        <v>1000</v>
      </c>
      <c r="D459" t="s">
        <v>1003</v>
      </c>
      <c r="E459" t="s">
        <v>146</v>
      </c>
      <c r="F459" t="s">
        <v>3</v>
      </c>
      <c r="G459" t="s">
        <v>146</v>
      </c>
      <c r="I459" t="str">
        <f t="shared" si="7"/>
        <v>TP</v>
      </c>
    </row>
    <row r="460" spans="1:9" x14ac:dyDescent="0.2">
      <c r="A460">
        <v>8601603</v>
      </c>
      <c r="B460">
        <v>6</v>
      </c>
      <c r="C460" t="s">
        <v>1004</v>
      </c>
      <c r="D460" t="s">
        <v>1005</v>
      </c>
      <c r="E460" t="s">
        <v>146</v>
      </c>
      <c r="F460" t="s">
        <v>61</v>
      </c>
      <c r="G460" t="s">
        <v>146</v>
      </c>
      <c r="I460" t="str">
        <f t="shared" si="7"/>
        <v>TP</v>
      </c>
    </row>
    <row r="461" spans="1:9" x14ac:dyDescent="0.2">
      <c r="A461">
        <v>8601603</v>
      </c>
      <c r="B461">
        <v>6</v>
      </c>
      <c r="C461" t="s">
        <v>1004</v>
      </c>
      <c r="D461" t="s">
        <v>242</v>
      </c>
      <c r="E461" t="s">
        <v>146</v>
      </c>
      <c r="F461" t="s">
        <v>3</v>
      </c>
      <c r="G461" t="s">
        <v>146</v>
      </c>
      <c r="I461" t="str">
        <f t="shared" si="7"/>
        <v>TP</v>
      </c>
    </row>
    <row r="462" spans="1:9" x14ac:dyDescent="0.2">
      <c r="A462">
        <v>8601603</v>
      </c>
      <c r="B462">
        <v>6</v>
      </c>
      <c r="C462" t="s">
        <v>1004</v>
      </c>
      <c r="D462" t="s">
        <v>242</v>
      </c>
      <c r="E462" t="s">
        <v>146</v>
      </c>
      <c r="F462" t="s">
        <v>3</v>
      </c>
      <c r="G462" t="s">
        <v>146</v>
      </c>
      <c r="I462" t="str">
        <f t="shared" si="7"/>
        <v>TP</v>
      </c>
    </row>
    <row r="463" spans="1:9" x14ac:dyDescent="0.2">
      <c r="A463">
        <v>8601603</v>
      </c>
      <c r="B463">
        <v>6</v>
      </c>
      <c r="C463" t="s">
        <v>1004</v>
      </c>
      <c r="D463" t="s">
        <v>241</v>
      </c>
      <c r="E463" t="s">
        <v>146</v>
      </c>
      <c r="F463" t="s">
        <v>3</v>
      </c>
      <c r="G463" t="s">
        <v>146</v>
      </c>
      <c r="I463" t="str">
        <f t="shared" si="7"/>
        <v>TP</v>
      </c>
    </row>
    <row r="464" spans="1:9" x14ac:dyDescent="0.2">
      <c r="A464">
        <v>8601603</v>
      </c>
      <c r="B464">
        <v>6</v>
      </c>
      <c r="C464" t="s">
        <v>1004</v>
      </c>
      <c r="D464" t="s">
        <v>1003</v>
      </c>
      <c r="E464" t="s">
        <v>146</v>
      </c>
      <c r="F464" t="s">
        <v>3</v>
      </c>
      <c r="G464" t="s">
        <v>146</v>
      </c>
      <c r="I464" t="str">
        <f t="shared" si="7"/>
        <v>TP</v>
      </c>
    </row>
    <row r="465" spans="1:9" x14ac:dyDescent="0.2">
      <c r="A465">
        <v>8601603</v>
      </c>
      <c r="B465">
        <v>6</v>
      </c>
      <c r="C465" t="s">
        <v>1004</v>
      </c>
      <c r="D465" t="s">
        <v>999</v>
      </c>
      <c r="E465" t="s">
        <v>146</v>
      </c>
      <c r="F465" t="s">
        <v>3</v>
      </c>
      <c r="G465" t="s">
        <v>146</v>
      </c>
      <c r="I465" t="str">
        <f t="shared" si="7"/>
        <v>TP</v>
      </c>
    </row>
    <row r="466" spans="1:9" x14ac:dyDescent="0.2">
      <c r="A466">
        <v>8601603</v>
      </c>
      <c r="B466">
        <v>7</v>
      </c>
      <c r="C466" t="s">
        <v>1006</v>
      </c>
      <c r="D466" t="s">
        <v>242</v>
      </c>
      <c r="E466" t="s">
        <v>146</v>
      </c>
      <c r="F466" t="s">
        <v>3</v>
      </c>
      <c r="G466" t="s">
        <v>146</v>
      </c>
      <c r="I466" t="str">
        <f t="shared" si="7"/>
        <v>TP</v>
      </c>
    </row>
    <row r="467" spans="1:9" x14ac:dyDescent="0.2">
      <c r="A467">
        <v>8601603</v>
      </c>
      <c r="B467">
        <v>7</v>
      </c>
      <c r="C467" t="s">
        <v>1006</v>
      </c>
      <c r="D467" t="s">
        <v>208</v>
      </c>
      <c r="E467" t="s">
        <v>1086</v>
      </c>
      <c r="F467" t="s">
        <v>38</v>
      </c>
      <c r="G467" t="s">
        <v>1086</v>
      </c>
      <c r="I467" t="str">
        <f t="shared" si="7"/>
        <v/>
      </c>
    </row>
    <row r="468" spans="1:9" x14ac:dyDescent="0.2">
      <c r="A468">
        <v>8601603</v>
      </c>
      <c r="B468">
        <v>7</v>
      </c>
      <c r="C468" t="s">
        <v>1006</v>
      </c>
      <c r="D468" t="s">
        <v>994</v>
      </c>
      <c r="E468" t="s">
        <v>146</v>
      </c>
      <c r="F468" t="s">
        <v>3</v>
      </c>
      <c r="G468" t="s">
        <v>146</v>
      </c>
      <c r="I468" t="str">
        <f t="shared" si="7"/>
        <v>TP</v>
      </c>
    </row>
    <row r="469" spans="1:9" x14ac:dyDescent="0.2">
      <c r="A469">
        <v>8737237</v>
      </c>
      <c r="B469">
        <v>0</v>
      </c>
      <c r="C469" t="s">
        <v>1007</v>
      </c>
      <c r="D469" t="s">
        <v>1008</v>
      </c>
      <c r="E469" t="s">
        <v>146</v>
      </c>
      <c r="F469" t="s">
        <v>3</v>
      </c>
      <c r="G469" t="s">
        <v>146</v>
      </c>
      <c r="I469" t="str">
        <f t="shared" si="7"/>
        <v>TP</v>
      </c>
    </row>
    <row r="470" spans="1:9" x14ac:dyDescent="0.2">
      <c r="A470">
        <v>8737237</v>
      </c>
      <c r="B470">
        <v>0</v>
      </c>
      <c r="C470" t="s">
        <v>1007</v>
      </c>
      <c r="D470" t="s">
        <v>1009</v>
      </c>
      <c r="E470" t="s">
        <v>146</v>
      </c>
      <c r="F470" t="s">
        <v>3</v>
      </c>
      <c r="G470" t="s">
        <v>146</v>
      </c>
      <c r="I470" t="str">
        <f t="shared" si="7"/>
        <v>TP</v>
      </c>
    </row>
    <row r="471" spans="1:9" x14ac:dyDescent="0.2">
      <c r="A471">
        <v>8737237</v>
      </c>
      <c r="B471">
        <v>1</v>
      </c>
      <c r="C471" t="s">
        <v>1010</v>
      </c>
      <c r="D471" t="s">
        <v>48</v>
      </c>
      <c r="E471" t="s">
        <v>1086</v>
      </c>
      <c r="F471" t="s">
        <v>38</v>
      </c>
      <c r="G471" t="s">
        <v>1086</v>
      </c>
      <c r="I471" t="str">
        <f t="shared" si="7"/>
        <v/>
      </c>
    </row>
    <row r="472" spans="1:9" x14ac:dyDescent="0.2">
      <c r="A472">
        <v>8737237</v>
      </c>
      <c r="B472">
        <v>2</v>
      </c>
      <c r="C472" t="s">
        <v>1011</v>
      </c>
      <c r="D472" t="s">
        <v>48</v>
      </c>
      <c r="E472" t="s">
        <v>1086</v>
      </c>
      <c r="F472" t="s">
        <v>38</v>
      </c>
      <c r="G472" t="s">
        <v>1086</v>
      </c>
      <c r="I472" t="str">
        <f t="shared" si="7"/>
        <v/>
      </c>
    </row>
    <row r="473" spans="1:9" x14ac:dyDescent="0.2">
      <c r="A473">
        <v>8737237</v>
      </c>
      <c r="B473">
        <v>3</v>
      </c>
      <c r="C473" t="s">
        <v>1012</v>
      </c>
      <c r="D473" t="s">
        <v>48</v>
      </c>
      <c r="E473" t="s">
        <v>1086</v>
      </c>
      <c r="F473" t="s">
        <v>38</v>
      </c>
      <c r="G473" t="s">
        <v>1086</v>
      </c>
      <c r="I473" t="str">
        <f t="shared" si="7"/>
        <v/>
      </c>
    </row>
    <row r="474" spans="1:9" x14ac:dyDescent="0.2">
      <c r="A474">
        <v>8737237</v>
      </c>
      <c r="B474">
        <v>3</v>
      </c>
      <c r="C474" t="s">
        <v>1012</v>
      </c>
      <c r="D474" t="s">
        <v>242</v>
      </c>
      <c r="E474" t="s">
        <v>146</v>
      </c>
      <c r="F474" t="s">
        <v>3</v>
      </c>
      <c r="G474" t="s">
        <v>146</v>
      </c>
      <c r="I474" t="str">
        <f t="shared" si="7"/>
        <v>TP</v>
      </c>
    </row>
    <row r="475" spans="1:9" x14ac:dyDescent="0.2">
      <c r="A475">
        <v>8737237</v>
      </c>
      <c r="B475">
        <v>3</v>
      </c>
      <c r="C475" t="s">
        <v>1012</v>
      </c>
      <c r="D475" t="s">
        <v>267</v>
      </c>
      <c r="E475" t="s">
        <v>1086</v>
      </c>
      <c r="F475" t="s">
        <v>38</v>
      </c>
      <c r="G475" t="s">
        <v>1086</v>
      </c>
      <c r="I475" t="str">
        <f t="shared" si="7"/>
        <v/>
      </c>
    </row>
    <row r="476" spans="1:9" x14ac:dyDescent="0.2">
      <c r="A476">
        <v>8737237</v>
      </c>
      <c r="B476">
        <v>3</v>
      </c>
      <c r="C476" t="s">
        <v>1012</v>
      </c>
      <c r="D476" t="s">
        <v>267</v>
      </c>
      <c r="E476" t="s">
        <v>1086</v>
      </c>
      <c r="F476" t="s">
        <v>38</v>
      </c>
      <c r="G476" t="s">
        <v>1086</v>
      </c>
      <c r="I476" t="str">
        <f t="shared" si="7"/>
        <v/>
      </c>
    </row>
    <row r="477" spans="1:9" x14ac:dyDescent="0.2">
      <c r="A477">
        <v>8737237</v>
      </c>
      <c r="B477">
        <v>3</v>
      </c>
      <c r="C477" t="s">
        <v>1012</v>
      </c>
      <c r="D477" t="s">
        <v>1002</v>
      </c>
      <c r="E477" t="s">
        <v>146</v>
      </c>
      <c r="F477" t="s">
        <v>3</v>
      </c>
      <c r="G477" t="s">
        <v>146</v>
      </c>
      <c r="I477" t="str">
        <f t="shared" si="7"/>
        <v>TP</v>
      </c>
    </row>
    <row r="478" spans="1:9" x14ac:dyDescent="0.2">
      <c r="A478">
        <v>8737237</v>
      </c>
      <c r="B478">
        <v>3</v>
      </c>
      <c r="C478" t="s">
        <v>1012</v>
      </c>
      <c r="D478" t="s">
        <v>241</v>
      </c>
      <c r="E478" t="s">
        <v>146</v>
      </c>
      <c r="F478" t="s">
        <v>3</v>
      </c>
      <c r="G478" t="s">
        <v>146</v>
      </c>
      <c r="I478" t="str">
        <f t="shared" si="7"/>
        <v>TP</v>
      </c>
    </row>
    <row r="479" spans="1:9" x14ac:dyDescent="0.2">
      <c r="A479">
        <v>8737237</v>
      </c>
      <c r="B479">
        <v>3</v>
      </c>
      <c r="C479" t="s">
        <v>1012</v>
      </c>
      <c r="D479" t="s">
        <v>283</v>
      </c>
      <c r="E479" t="s">
        <v>146</v>
      </c>
      <c r="F479" t="s">
        <v>3</v>
      </c>
      <c r="G479" t="s">
        <v>146</v>
      </c>
      <c r="I479" t="str">
        <f t="shared" si="7"/>
        <v>TP</v>
      </c>
    </row>
    <row r="480" spans="1:9" x14ac:dyDescent="0.2">
      <c r="A480">
        <v>8737237</v>
      </c>
      <c r="B480">
        <v>4</v>
      </c>
      <c r="C480" t="s">
        <v>1013</v>
      </c>
      <c r="D480" t="s">
        <v>267</v>
      </c>
      <c r="E480" t="s">
        <v>1086</v>
      </c>
      <c r="F480" t="s">
        <v>38</v>
      </c>
      <c r="G480" t="s">
        <v>1086</v>
      </c>
      <c r="I480" t="str">
        <f t="shared" si="7"/>
        <v/>
      </c>
    </row>
    <row r="481" spans="1:9" x14ac:dyDescent="0.2">
      <c r="A481">
        <v>8737237</v>
      </c>
      <c r="B481">
        <v>4</v>
      </c>
      <c r="C481" t="s">
        <v>1013</v>
      </c>
      <c r="D481" t="s">
        <v>267</v>
      </c>
      <c r="E481" t="s">
        <v>1086</v>
      </c>
      <c r="F481" t="s">
        <v>38</v>
      </c>
      <c r="G481" t="s">
        <v>1086</v>
      </c>
      <c r="I481" t="str">
        <f t="shared" si="7"/>
        <v/>
      </c>
    </row>
    <row r="482" spans="1:9" x14ac:dyDescent="0.2">
      <c r="A482">
        <v>8737237</v>
      </c>
      <c r="B482">
        <v>4</v>
      </c>
      <c r="C482" t="s">
        <v>1013</v>
      </c>
      <c r="D482" t="s">
        <v>48</v>
      </c>
      <c r="E482" t="s">
        <v>1086</v>
      </c>
      <c r="F482" t="s">
        <v>38</v>
      </c>
      <c r="G482" t="s">
        <v>1086</v>
      </c>
      <c r="I482" t="str">
        <f t="shared" si="7"/>
        <v/>
      </c>
    </row>
    <row r="483" spans="1:9" x14ac:dyDescent="0.2">
      <c r="A483">
        <v>8737237</v>
      </c>
      <c r="B483">
        <v>4</v>
      </c>
      <c r="C483" t="s">
        <v>1013</v>
      </c>
      <c r="D483" t="s">
        <v>1014</v>
      </c>
      <c r="E483" t="s">
        <v>146</v>
      </c>
      <c r="F483" t="s">
        <v>44</v>
      </c>
      <c r="G483" t="s">
        <v>146</v>
      </c>
      <c r="I483" t="str">
        <f t="shared" si="7"/>
        <v>TP</v>
      </c>
    </row>
    <row r="484" spans="1:9" x14ac:dyDescent="0.2">
      <c r="A484">
        <v>8737237</v>
      </c>
      <c r="B484">
        <v>4</v>
      </c>
      <c r="C484" t="s">
        <v>1013</v>
      </c>
      <c r="D484" t="s">
        <v>1112</v>
      </c>
      <c r="E484" t="s">
        <v>146</v>
      </c>
      <c r="F484" t="s">
        <v>3</v>
      </c>
      <c r="G484" t="s">
        <v>146</v>
      </c>
      <c r="I484" t="str">
        <f t="shared" si="7"/>
        <v>TP</v>
      </c>
    </row>
    <row r="485" spans="1:9" x14ac:dyDescent="0.2">
      <c r="A485">
        <v>8737237</v>
      </c>
      <c r="B485">
        <v>4</v>
      </c>
      <c r="C485" t="s">
        <v>1013</v>
      </c>
      <c r="D485" t="s">
        <v>447</v>
      </c>
      <c r="E485" t="s">
        <v>146</v>
      </c>
      <c r="F485" t="s">
        <v>3</v>
      </c>
      <c r="G485" t="s">
        <v>146</v>
      </c>
      <c r="I485" t="str">
        <f t="shared" si="7"/>
        <v>TP</v>
      </c>
    </row>
    <row r="486" spans="1:9" x14ac:dyDescent="0.2">
      <c r="A486">
        <v>8737237</v>
      </c>
      <c r="B486">
        <v>4</v>
      </c>
      <c r="C486" t="s">
        <v>1013</v>
      </c>
      <c r="D486" t="s">
        <v>1015</v>
      </c>
      <c r="E486" t="s">
        <v>146</v>
      </c>
      <c r="F486" t="s">
        <v>3</v>
      </c>
      <c r="G486" t="s">
        <v>146</v>
      </c>
      <c r="H486" t="s">
        <v>1114</v>
      </c>
      <c r="I486" t="str">
        <f t="shared" si="7"/>
        <v>TP</v>
      </c>
    </row>
    <row r="487" spans="1:9" x14ac:dyDescent="0.2">
      <c r="A487">
        <v>8737237</v>
      </c>
      <c r="B487">
        <v>4</v>
      </c>
      <c r="C487" t="s">
        <v>1013</v>
      </c>
      <c r="D487" t="s">
        <v>1016</v>
      </c>
      <c r="E487" t="s">
        <v>146</v>
      </c>
      <c r="F487" t="s">
        <v>3</v>
      </c>
      <c r="G487" t="s">
        <v>146</v>
      </c>
      <c r="H487" t="s">
        <v>1113</v>
      </c>
      <c r="I487" t="str">
        <f t="shared" si="7"/>
        <v>TP</v>
      </c>
    </row>
    <row r="488" spans="1:9" x14ac:dyDescent="0.2">
      <c r="A488">
        <v>8737237</v>
      </c>
      <c r="B488">
        <v>5</v>
      </c>
      <c r="C488" t="s">
        <v>1017</v>
      </c>
      <c r="D488" t="s">
        <v>57</v>
      </c>
      <c r="E488" t="s">
        <v>1086</v>
      </c>
      <c r="F488" t="s">
        <v>38</v>
      </c>
      <c r="G488" t="s">
        <v>1086</v>
      </c>
      <c r="I488" t="str">
        <f t="shared" si="7"/>
        <v/>
      </c>
    </row>
    <row r="489" spans="1:9" x14ac:dyDescent="0.2">
      <c r="A489">
        <v>8737237</v>
      </c>
      <c r="B489">
        <v>5</v>
      </c>
      <c r="C489" t="s">
        <v>1017</v>
      </c>
      <c r="D489" t="s">
        <v>57</v>
      </c>
      <c r="E489" t="s">
        <v>1086</v>
      </c>
      <c r="F489" t="s">
        <v>38</v>
      </c>
      <c r="G489" t="s">
        <v>1086</v>
      </c>
      <c r="I489" t="str">
        <f t="shared" si="7"/>
        <v/>
      </c>
    </row>
    <row r="490" spans="1:9" x14ac:dyDescent="0.2">
      <c r="A490">
        <v>8737237</v>
      </c>
      <c r="B490">
        <v>5</v>
      </c>
      <c r="C490" t="s">
        <v>1017</v>
      </c>
      <c r="D490" t="s">
        <v>227</v>
      </c>
      <c r="E490" t="s">
        <v>146</v>
      </c>
      <c r="F490" t="s">
        <v>61</v>
      </c>
      <c r="G490" t="s">
        <v>146</v>
      </c>
      <c r="I490" t="str">
        <f t="shared" si="7"/>
        <v>TP</v>
      </c>
    </row>
    <row r="491" spans="1:9" x14ac:dyDescent="0.2">
      <c r="A491">
        <v>8737237</v>
      </c>
      <c r="B491">
        <v>5</v>
      </c>
      <c r="C491" t="s">
        <v>1017</v>
      </c>
      <c r="D491" t="s">
        <v>64</v>
      </c>
      <c r="E491" t="s">
        <v>146</v>
      </c>
      <c r="F491" t="s">
        <v>3</v>
      </c>
      <c r="G491" t="s">
        <v>146</v>
      </c>
      <c r="I491" t="str">
        <f t="shared" si="7"/>
        <v>TP</v>
      </c>
    </row>
    <row r="492" spans="1:9" x14ac:dyDescent="0.2">
      <c r="A492">
        <v>8737237</v>
      </c>
      <c r="B492">
        <v>5</v>
      </c>
      <c r="C492" t="s">
        <v>1017</v>
      </c>
      <c r="D492" t="s">
        <v>69</v>
      </c>
      <c r="E492" t="s">
        <v>1086</v>
      </c>
      <c r="F492" t="s">
        <v>38</v>
      </c>
      <c r="G492" t="s">
        <v>1086</v>
      </c>
      <c r="I492" t="str">
        <f t="shared" si="7"/>
        <v/>
      </c>
    </row>
    <row r="493" spans="1:9" x14ac:dyDescent="0.2">
      <c r="A493">
        <v>8737237</v>
      </c>
      <c r="B493">
        <v>5</v>
      </c>
      <c r="C493" t="s">
        <v>1017</v>
      </c>
      <c r="D493" t="s">
        <v>85</v>
      </c>
      <c r="E493" t="s">
        <v>146</v>
      </c>
      <c r="F493" t="s">
        <v>3</v>
      </c>
      <c r="G493" t="s">
        <v>146</v>
      </c>
      <c r="I493" t="str">
        <f t="shared" si="7"/>
        <v>TP</v>
      </c>
    </row>
    <row r="494" spans="1:9" x14ac:dyDescent="0.2">
      <c r="A494">
        <v>8737237</v>
      </c>
      <c r="B494">
        <v>5</v>
      </c>
      <c r="C494" t="s">
        <v>1017</v>
      </c>
      <c r="D494" t="s">
        <v>470</v>
      </c>
      <c r="E494" t="s">
        <v>146</v>
      </c>
      <c r="F494" t="s">
        <v>3</v>
      </c>
      <c r="G494" t="s">
        <v>146</v>
      </c>
      <c r="I494" t="str">
        <f t="shared" si="7"/>
        <v>TP</v>
      </c>
    </row>
    <row r="495" spans="1:9" x14ac:dyDescent="0.2">
      <c r="A495">
        <v>8737237</v>
      </c>
      <c r="B495">
        <v>5</v>
      </c>
      <c r="C495" t="s">
        <v>1017</v>
      </c>
      <c r="D495" t="s">
        <v>295</v>
      </c>
      <c r="E495" t="s">
        <v>146</v>
      </c>
      <c r="F495" t="s">
        <v>3</v>
      </c>
      <c r="G495" t="s">
        <v>146</v>
      </c>
      <c r="I495" t="str">
        <f t="shared" si="7"/>
        <v>TP</v>
      </c>
    </row>
    <row r="496" spans="1:9" x14ac:dyDescent="0.2">
      <c r="A496">
        <v>8737237</v>
      </c>
      <c r="B496">
        <v>6</v>
      </c>
      <c r="C496" t="s">
        <v>1018</v>
      </c>
      <c r="D496" t="s">
        <v>1019</v>
      </c>
      <c r="E496" t="s">
        <v>146</v>
      </c>
      <c r="F496" t="s">
        <v>44</v>
      </c>
      <c r="G496" t="s">
        <v>146</v>
      </c>
      <c r="I496" t="str">
        <f t="shared" si="7"/>
        <v>TP</v>
      </c>
    </row>
    <row r="497" spans="1:9" x14ac:dyDescent="0.2">
      <c r="A497">
        <v>8737237</v>
      </c>
      <c r="B497">
        <v>7</v>
      </c>
      <c r="C497" t="s">
        <v>1020</v>
      </c>
      <c r="D497" t="s">
        <v>64</v>
      </c>
      <c r="E497" t="s">
        <v>146</v>
      </c>
      <c r="F497" t="s">
        <v>3</v>
      </c>
      <c r="G497" t="s">
        <v>146</v>
      </c>
      <c r="I497" t="str">
        <f t="shared" si="7"/>
        <v>TP</v>
      </c>
    </row>
    <row r="498" spans="1:9" x14ac:dyDescent="0.2">
      <c r="A498">
        <v>8737237</v>
      </c>
      <c r="B498">
        <v>7</v>
      </c>
      <c r="C498" t="s">
        <v>1020</v>
      </c>
      <c r="D498" t="s">
        <v>1002</v>
      </c>
      <c r="E498" t="s">
        <v>146</v>
      </c>
      <c r="F498" t="s">
        <v>3</v>
      </c>
      <c r="G498" t="s">
        <v>146</v>
      </c>
      <c r="I498" t="str">
        <f t="shared" si="7"/>
        <v>TP</v>
      </c>
    </row>
    <row r="499" spans="1:9" x14ac:dyDescent="0.2">
      <c r="A499">
        <v>8737237</v>
      </c>
      <c r="B499">
        <v>8</v>
      </c>
      <c r="C499" t="s">
        <v>1021</v>
      </c>
      <c r="D499" t="s">
        <v>1022</v>
      </c>
      <c r="E499" t="s">
        <v>146</v>
      </c>
      <c r="F499" t="s">
        <v>3</v>
      </c>
      <c r="G499" t="s">
        <v>146</v>
      </c>
      <c r="I499" t="str">
        <f t="shared" si="7"/>
        <v>TP</v>
      </c>
    </row>
    <row r="500" spans="1:9" x14ac:dyDescent="0.2">
      <c r="A500">
        <v>8737237</v>
      </c>
      <c r="B500">
        <v>8</v>
      </c>
      <c r="C500" t="s">
        <v>1021</v>
      </c>
      <c r="D500" t="s">
        <v>1019</v>
      </c>
      <c r="E500" t="s">
        <v>146</v>
      </c>
      <c r="F500" t="s">
        <v>44</v>
      </c>
      <c r="G500" t="s">
        <v>146</v>
      </c>
      <c r="I500" t="str">
        <f t="shared" si="7"/>
        <v>TP</v>
      </c>
    </row>
    <row r="501" spans="1:9" x14ac:dyDescent="0.2">
      <c r="A501">
        <v>8737237</v>
      </c>
      <c r="B501">
        <v>9</v>
      </c>
      <c r="C501" t="s">
        <v>1023</v>
      </c>
      <c r="D501" t="s">
        <v>1024</v>
      </c>
      <c r="E501" t="s">
        <v>146</v>
      </c>
      <c r="F501" t="s">
        <v>3</v>
      </c>
      <c r="G501" t="s">
        <v>146</v>
      </c>
      <c r="I501" t="str">
        <f t="shared" si="7"/>
        <v>TP</v>
      </c>
    </row>
    <row r="502" spans="1:9" x14ac:dyDescent="0.2">
      <c r="A502">
        <v>8737237</v>
      </c>
      <c r="B502">
        <v>10</v>
      </c>
      <c r="C502" t="s">
        <v>1025</v>
      </c>
      <c r="D502" t="s">
        <v>1022</v>
      </c>
      <c r="E502" t="s">
        <v>146</v>
      </c>
      <c r="F502" t="s">
        <v>3</v>
      </c>
      <c r="G502" t="s">
        <v>146</v>
      </c>
      <c r="I502" t="str">
        <f t="shared" si="7"/>
        <v>TP</v>
      </c>
    </row>
    <row r="503" spans="1:9" x14ac:dyDescent="0.2">
      <c r="A503">
        <v>8969459</v>
      </c>
      <c r="B503">
        <v>0</v>
      </c>
      <c r="C503" t="s">
        <v>1026</v>
      </c>
      <c r="D503" t="s">
        <v>1027</v>
      </c>
      <c r="E503" t="s">
        <v>146</v>
      </c>
      <c r="F503" t="s">
        <v>3</v>
      </c>
      <c r="G503" t="s">
        <v>146</v>
      </c>
      <c r="I503" t="str">
        <f t="shared" si="7"/>
        <v>TP</v>
      </c>
    </row>
    <row r="504" spans="1:9" x14ac:dyDescent="0.2">
      <c r="A504">
        <v>8969459</v>
      </c>
      <c r="B504">
        <v>1</v>
      </c>
      <c r="C504" t="s">
        <v>1028</v>
      </c>
      <c r="D504" t="s">
        <v>1027</v>
      </c>
      <c r="E504" t="s">
        <v>146</v>
      </c>
      <c r="F504" t="s">
        <v>3</v>
      </c>
      <c r="G504" t="s">
        <v>146</v>
      </c>
      <c r="I504" t="str">
        <f t="shared" si="7"/>
        <v>TP</v>
      </c>
    </row>
    <row r="505" spans="1:9" x14ac:dyDescent="0.2">
      <c r="A505">
        <v>8969459</v>
      </c>
      <c r="B505">
        <v>1</v>
      </c>
      <c r="C505" t="s">
        <v>1028</v>
      </c>
      <c r="D505" t="s">
        <v>1029</v>
      </c>
      <c r="E505" t="s">
        <v>146</v>
      </c>
      <c r="F505" t="s">
        <v>3</v>
      </c>
      <c r="G505" t="s">
        <v>146</v>
      </c>
      <c r="I505" t="str">
        <f t="shared" si="7"/>
        <v>TP</v>
      </c>
    </row>
    <row r="506" spans="1:9" x14ac:dyDescent="0.2">
      <c r="A506">
        <v>8969459</v>
      </c>
      <c r="B506">
        <v>2</v>
      </c>
      <c r="C506" t="s">
        <v>1030</v>
      </c>
      <c r="D506" t="s">
        <v>818</v>
      </c>
      <c r="E506" t="s">
        <v>146</v>
      </c>
      <c r="F506" t="s">
        <v>44</v>
      </c>
      <c r="G506" t="s">
        <v>146</v>
      </c>
      <c r="I506" t="str">
        <f t="shared" si="7"/>
        <v>TP</v>
      </c>
    </row>
    <row r="507" spans="1:9" x14ac:dyDescent="0.2">
      <c r="A507">
        <v>8969459</v>
      </c>
      <c r="B507">
        <v>2</v>
      </c>
      <c r="C507" t="s">
        <v>1030</v>
      </c>
      <c r="D507" t="s">
        <v>572</v>
      </c>
      <c r="E507" t="s">
        <v>1086</v>
      </c>
      <c r="F507" t="s">
        <v>38</v>
      </c>
      <c r="G507" t="s">
        <v>1086</v>
      </c>
      <c r="I507" t="str">
        <f t="shared" si="7"/>
        <v/>
      </c>
    </row>
    <row r="508" spans="1:9" x14ac:dyDescent="0.2">
      <c r="A508">
        <v>8969459</v>
      </c>
      <c r="B508">
        <v>2</v>
      </c>
      <c r="C508" t="s">
        <v>1030</v>
      </c>
      <c r="D508" t="s">
        <v>1029</v>
      </c>
      <c r="E508" t="s">
        <v>146</v>
      </c>
      <c r="F508" t="s">
        <v>3</v>
      </c>
      <c r="G508" t="s">
        <v>146</v>
      </c>
      <c r="I508" t="str">
        <f t="shared" si="7"/>
        <v>TP</v>
      </c>
    </row>
    <row r="509" spans="1:9" x14ac:dyDescent="0.2">
      <c r="A509">
        <v>8969459</v>
      </c>
      <c r="B509">
        <v>2</v>
      </c>
      <c r="C509" t="s">
        <v>1030</v>
      </c>
      <c r="D509" t="s">
        <v>1031</v>
      </c>
      <c r="E509" t="s">
        <v>167</v>
      </c>
      <c r="F509" t="s">
        <v>3</v>
      </c>
      <c r="G509" t="s">
        <v>167</v>
      </c>
      <c r="I509" t="str">
        <f t="shared" si="7"/>
        <v>FP</v>
      </c>
    </row>
    <row r="510" spans="1:9" x14ac:dyDescent="0.2">
      <c r="A510">
        <v>8969459</v>
      </c>
      <c r="B510">
        <v>3</v>
      </c>
      <c r="C510" t="s">
        <v>1032</v>
      </c>
      <c r="D510" t="s">
        <v>1033</v>
      </c>
      <c r="E510" t="s">
        <v>146</v>
      </c>
      <c r="F510" t="s">
        <v>3</v>
      </c>
      <c r="G510" t="s">
        <v>146</v>
      </c>
      <c r="I510" t="str">
        <f t="shared" si="7"/>
        <v>TP</v>
      </c>
    </row>
    <row r="511" spans="1:9" x14ac:dyDescent="0.2">
      <c r="A511">
        <v>8969459</v>
      </c>
      <c r="B511">
        <v>4</v>
      </c>
      <c r="C511" t="s">
        <v>1034</v>
      </c>
      <c r="D511" t="s">
        <v>57</v>
      </c>
      <c r="E511" t="s">
        <v>1086</v>
      </c>
      <c r="F511" t="s">
        <v>38</v>
      </c>
      <c r="G511" t="s">
        <v>1086</v>
      </c>
      <c r="I511" t="str">
        <f t="shared" si="7"/>
        <v/>
      </c>
    </row>
    <row r="512" spans="1:9" x14ac:dyDescent="0.2">
      <c r="A512">
        <v>8969459</v>
      </c>
      <c r="B512">
        <v>5</v>
      </c>
      <c r="C512" t="s">
        <v>1035</v>
      </c>
      <c r="D512" t="s">
        <v>227</v>
      </c>
      <c r="E512" t="s">
        <v>146</v>
      </c>
      <c r="F512" t="s">
        <v>61</v>
      </c>
      <c r="G512" t="s">
        <v>146</v>
      </c>
      <c r="I512" t="str">
        <f t="shared" si="7"/>
        <v>TP</v>
      </c>
    </row>
    <row r="513" spans="1:9" x14ac:dyDescent="0.2">
      <c r="A513">
        <v>8969459</v>
      </c>
      <c r="B513">
        <v>6</v>
      </c>
      <c r="C513" t="s">
        <v>1036</v>
      </c>
      <c r="D513" t="s">
        <v>1037</v>
      </c>
      <c r="E513" t="s">
        <v>146</v>
      </c>
      <c r="F513" t="s">
        <v>3</v>
      </c>
      <c r="G513" t="s">
        <v>146</v>
      </c>
      <c r="I513" t="str">
        <f t="shared" si="7"/>
        <v>TP</v>
      </c>
    </row>
    <row r="514" spans="1:9" x14ac:dyDescent="0.2">
      <c r="A514">
        <v>10049046</v>
      </c>
      <c r="B514">
        <v>0</v>
      </c>
      <c r="C514" t="s">
        <v>1038</v>
      </c>
      <c r="D514" t="s">
        <v>1039</v>
      </c>
      <c r="E514" t="s">
        <v>146</v>
      </c>
      <c r="F514" t="s">
        <v>3</v>
      </c>
      <c r="G514" t="s">
        <v>146</v>
      </c>
      <c r="I514" t="str">
        <f t="shared" ref="I514:I555" si="8">IF(OR(E514="FP",G514="FP"),"FP",IF(AND(E514="TP",E514="TP"),"TP",""))</f>
        <v>TP</v>
      </c>
    </row>
    <row r="515" spans="1:9" x14ac:dyDescent="0.2">
      <c r="A515">
        <v>10049046</v>
      </c>
      <c r="B515">
        <v>1</v>
      </c>
      <c r="C515" t="s">
        <v>1040</v>
      </c>
      <c r="I515" t="str">
        <f t="shared" si="8"/>
        <v/>
      </c>
    </row>
    <row r="516" spans="1:9" x14ac:dyDescent="0.2">
      <c r="A516">
        <v>10049046</v>
      </c>
      <c r="B516">
        <v>2</v>
      </c>
      <c r="C516" t="s">
        <v>1041</v>
      </c>
      <c r="D516" t="s">
        <v>1042</v>
      </c>
      <c r="E516" t="s">
        <v>146</v>
      </c>
      <c r="F516" t="s">
        <v>44</v>
      </c>
      <c r="G516" t="s">
        <v>167</v>
      </c>
      <c r="H516" t="s">
        <v>1046</v>
      </c>
      <c r="I516" t="str">
        <f t="shared" si="8"/>
        <v>FP</v>
      </c>
    </row>
    <row r="517" spans="1:9" x14ac:dyDescent="0.2">
      <c r="A517">
        <v>10049046</v>
      </c>
      <c r="B517">
        <v>2</v>
      </c>
      <c r="C517" t="s">
        <v>1041</v>
      </c>
      <c r="D517" t="s">
        <v>1043</v>
      </c>
      <c r="E517" t="s">
        <v>146</v>
      </c>
      <c r="F517" t="s">
        <v>3</v>
      </c>
      <c r="G517" t="s">
        <v>146</v>
      </c>
      <c r="H517" t="s">
        <v>1047</v>
      </c>
      <c r="I517" t="str">
        <f t="shared" si="8"/>
        <v>TP</v>
      </c>
    </row>
    <row r="518" spans="1:9" x14ac:dyDescent="0.2">
      <c r="A518">
        <v>10049046</v>
      </c>
      <c r="B518">
        <v>3</v>
      </c>
      <c r="C518" t="s">
        <v>1044</v>
      </c>
      <c r="I518" t="str">
        <f t="shared" si="8"/>
        <v/>
      </c>
    </row>
    <row r="519" spans="1:9" x14ac:dyDescent="0.2">
      <c r="A519">
        <v>10049046</v>
      </c>
      <c r="B519">
        <v>4</v>
      </c>
      <c r="C519" t="s">
        <v>1045</v>
      </c>
      <c r="D519" t="s">
        <v>1046</v>
      </c>
      <c r="E519" t="s">
        <v>146</v>
      </c>
      <c r="F519" t="s">
        <v>44</v>
      </c>
      <c r="G519" t="s">
        <v>146</v>
      </c>
      <c r="I519" t="str">
        <f t="shared" si="8"/>
        <v>TP</v>
      </c>
    </row>
    <row r="520" spans="1:9" x14ac:dyDescent="0.2">
      <c r="A520">
        <v>10049046</v>
      </c>
      <c r="B520">
        <v>4</v>
      </c>
      <c r="C520" t="s">
        <v>1045</v>
      </c>
      <c r="D520" t="s">
        <v>1047</v>
      </c>
      <c r="E520" t="s">
        <v>146</v>
      </c>
      <c r="F520" t="s">
        <v>44</v>
      </c>
      <c r="G520" t="s">
        <v>146</v>
      </c>
      <c r="I520" t="str">
        <f t="shared" si="8"/>
        <v>TP</v>
      </c>
    </row>
    <row r="521" spans="1:9" x14ac:dyDescent="0.2">
      <c r="A521">
        <v>10049046</v>
      </c>
      <c r="B521">
        <v>5</v>
      </c>
      <c r="C521" t="s">
        <v>1048</v>
      </c>
      <c r="D521" t="s">
        <v>1046</v>
      </c>
      <c r="E521" t="s">
        <v>146</v>
      </c>
      <c r="F521" t="s">
        <v>44</v>
      </c>
      <c r="G521" t="s">
        <v>146</v>
      </c>
      <c r="I521" t="str">
        <f t="shared" si="8"/>
        <v>TP</v>
      </c>
    </row>
    <row r="522" spans="1:9" x14ac:dyDescent="0.2">
      <c r="A522">
        <v>10049046</v>
      </c>
      <c r="B522">
        <v>6</v>
      </c>
      <c r="C522" t="s">
        <v>1049</v>
      </c>
      <c r="D522" t="s">
        <v>1050</v>
      </c>
      <c r="E522" t="s">
        <v>146</v>
      </c>
      <c r="F522" t="s">
        <v>3</v>
      </c>
      <c r="G522" t="s">
        <v>146</v>
      </c>
      <c r="I522" t="str">
        <f t="shared" si="8"/>
        <v>TP</v>
      </c>
    </row>
    <row r="523" spans="1:9" x14ac:dyDescent="0.2">
      <c r="A523">
        <v>10049046</v>
      </c>
      <c r="B523">
        <v>6</v>
      </c>
      <c r="C523" t="s">
        <v>1049</v>
      </c>
      <c r="D523" t="s">
        <v>1115</v>
      </c>
      <c r="E523" t="s">
        <v>146</v>
      </c>
      <c r="F523" t="s">
        <v>99</v>
      </c>
      <c r="G523" t="s">
        <v>146</v>
      </c>
      <c r="I523" t="str">
        <f t="shared" si="8"/>
        <v>TP</v>
      </c>
    </row>
    <row r="524" spans="1:9" x14ac:dyDescent="0.2">
      <c r="A524">
        <v>10049046</v>
      </c>
      <c r="B524">
        <v>6</v>
      </c>
      <c r="C524" t="s">
        <v>1049</v>
      </c>
      <c r="D524" t="s">
        <v>614</v>
      </c>
      <c r="E524" t="s">
        <v>1086</v>
      </c>
      <c r="F524" t="s">
        <v>38</v>
      </c>
      <c r="G524" t="s">
        <v>1086</v>
      </c>
      <c r="I524" t="str">
        <f t="shared" si="8"/>
        <v/>
      </c>
    </row>
    <row r="525" spans="1:9" x14ac:dyDescent="0.2">
      <c r="A525">
        <v>10049046</v>
      </c>
      <c r="B525">
        <v>7</v>
      </c>
      <c r="C525" t="s">
        <v>1051</v>
      </c>
      <c r="D525" t="s">
        <v>1047</v>
      </c>
      <c r="E525" t="s">
        <v>146</v>
      </c>
      <c r="F525" t="s">
        <v>44</v>
      </c>
      <c r="G525" t="s">
        <v>146</v>
      </c>
      <c r="I525" t="str">
        <f t="shared" si="8"/>
        <v>TP</v>
      </c>
    </row>
    <row r="526" spans="1:9" x14ac:dyDescent="0.2">
      <c r="A526">
        <v>10536036</v>
      </c>
      <c r="B526">
        <v>0</v>
      </c>
      <c r="C526" t="s">
        <v>1052</v>
      </c>
      <c r="D526" t="s">
        <v>1053</v>
      </c>
      <c r="E526" t="s">
        <v>146</v>
      </c>
      <c r="F526" t="s">
        <v>44</v>
      </c>
      <c r="G526" t="s">
        <v>146</v>
      </c>
      <c r="I526" t="str">
        <f t="shared" si="8"/>
        <v>TP</v>
      </c>
    </row>
    <row r="527" spans="1:9" x14ac:dyDescent="0.2">
      <c r="A527">
        <v>10536036</v>
      </c>
      <c r="B527">
        <v>0</v>
      </c>
      <c r="C527" t="s">
        <v>1052</v>
      </c>
      <c r="D527" t="s">
        <v>1054</v>
      </c>
      <c r="E527" t="s">
        <v>146</v>
      </c>
      <c r="F527" t="s">
        <v>44</v>
      </c>
      <c r="G527" t="s">
        <v>146</v>
      </c>
      <c r="I527" t="str">
        <f t="shared" si="8"/>
        <v>TP</v>
      </c>
    </row>
    <row r="528" spans="1:9" x14ac:dyDescent="0.2">
      <c r="A528">
        <v>10536036</v>
      </c>
      <c r="B528">
        <v>1</v>
      </c>
      <c r="C528" t="s">
        <v>1055</v>
      </c>
      <c r="D528" t="s">
        <v>1056</v>
      </c>
      <c r="E528" t="s">
        <v>1086</v>
      </c>
      <c r="F528" t="s">
        <v>44</v>
      </c>
      <c r="G528" t="s">
        <v>1086</v>
      </c>
      <c r="I528" t="str">
        <f t="shared" si="8"/>
        <v/>
      </c>
    </row>
    <row r="529" spans="1:9" x14ac:dyDescent="0.2">
      <c r="A529">
        <v>10536036</v>
      </c>
      <c r="B529">
        <v>1</v>
      </c>
      <c r="C529" t="s">
        <v>1055</v>
      </c>
      <c r="D529" t="s">
        <v>1057</v>
      </c>
      <c r="E529" t="s">
        <v>146</v>
      </c>
      <c r="F529" t="s">
        <v>44</v>
      </c>
      <c r="G529" t="s">
        <v>167</v>
      </c>
      <c r="I529" t="str">
        <f t="shared" si="8"/>
        <v>FP</v>
      </c>
    </row>
    <row r="530" spans="1:9" x14ac:dyDescent="0.2">
      <c r="A530">
        <v>10536036</v>
      </c>
      <c r="B530">
        <v>1</v>
      </c>
      <c r="C530" t="s">
        <v>1055</v>
      </c>
      <c r="D530" t="s">
        <v>1058</v>
      </c>
      <c r="E530" t="s">
        <v>146</v>
      </c>
      <c r="F530" t="s">
        <v>61</v>
      </c>
      <c r="G530" t="s">
        <v>146</v>
      </c>
      <c r="I530" t="str">
        <f t="shared" si="8"/>
        <v>TP</v>
      </c>
    </row>
    <row r="531" spans="1:9" x14ac:dyDescent="0.2">
      <c r="A531">
        <v>10536036</v>
      </c>
      <c r="B531">
        <v>1</v>
      </c>
      <c r="C531" t="s">
        <v>1055</v>
      </c>
      <c r="D531" t="s">
        <v>1059</v>
      </c>
      <c r="E531" t="s">
        <v>146</v>
      </c>
      <c r="F531" t="s">
        <v>44</v>
      </c>
      <c r="G531" t="s">
        <v>146</v>
      </c>
      <c r="I531" t="str">
        <f t="shared" si="8"/>
        <v>TP</v>
      </c>
    </row>
    <row r="532" spans="1:9" x14ac:dyDescent="0.2">
      <c r="A532">
        <v>10536036</v>
      </c>
      <c r="B532">
        <v>2</v>
      </c>
      <c r="C532" t="s">
        <v>1060</v>
      </c>
      <c r="D532" t="s">
        <v>832</v>
      </c>
      <c r="E532" t="s">
        <v>146</v>
      </c>
      <c r="F532" t="s">
        <v>61</v>
      </c>
      <c r="G532" t="s">
        <v>146</v>
      </c>
      <c r="I532" t="str">
        <f t="shared" si="8"/>
        <v>TP</v>
      </c>
    </row>
    <row r="533" spans="1:9" x14ac:dyDescent="0.2">
      <c r="A533">
        <v>10536036</v>
      </c>
      <c r="B533">
        <v>2</v>
      </c>
      <c r="C533" t="s">
        <v>1060</v>
      </c>
      <c r="D533" t="s">
        <v>1058</v>
      </c>
      <c r="E533" t="s">
        <v>146</v>
      </c>
      <c r="F533" t="s">
        <v>61</v>
      </c>
      <c r="G533" t="s">
        <v>146</v>
      </c>
      <c r="I533" t="str">
        <f t="shared" si="8"/>
        <v>TP</v>
      </c>
    </row>
    <row r="534" spans="1:9" x14ac:dyDescent="0.2">
      <c r="A534">
        <v>10536036</v>
      </c>
      <c r="B534">
        <v>3</v>
      </c>
      <c r="C534" t="s">
        <v>1061</v>
      </c>
      <c r="D534" t="s">
        <v>1062</v>
      </c>
      <c r="E534" t="s">
        <v>1086</v>
      </c>
      <c r="F534" t="s">
        <v>38</v>
      </c>
      <c r="G534" t="s">
        <v>1086</v>
      </c>
      <c r="I534" t="str">
        <f t="shared" si="8"/>
        <v/>
      </c>
    </row>
    <row r="535" spans="1:9" x14ac:dyDescent="0.2">
      <c r="A535">
        <v>10536036</v>
      </c>
      <c r="B535">
        <v>3</v>
      </c>
      <c r="C535" t="s">
        <v>1061</v>
      </c>
      <c r="D535" t="s">
        <v>1063</v>
      </c>
      <c r="E535" t="s">
        <v>146</v>
      </c>
      <c r="F535" t="s">
        <v>44</v>
      </c>
      <c r="G535" t="s">
        <v>146</v>
      </c>
      <c r="I535" t="str">
        <f t="shared" si="8"/>
        <v>TP</v>
      </c>
    </row>
    <row r="536" spans="1:9" x14ac:dyDescent="0.2">
      <c r="A536">
        <v>10536036</v>
      </c>
      <c r="B536">
        <v>3</v>
      </c>
      <c r="C536" t="s">
        <v>1061</v>
      </c>
      <c r="D536" t="s">
        <v>1064</v>
      </c>
      <c r="E536" t="s">
        <v>146</v>
      </c>
      <c r="F536" t="s">
        <v>61</v>
      </c>
      <c r="G536" t="s">
        <v>146</v>
      </c>
      <c r="I536" t="str">
        <f t="shared" si="8"/>
        <v>TP</v>
      </c>
    </row>
    <row r="537" spans="1:9" x14ac:dyDescent="0.2">
      <c r="A537">
        <v>10536036</v>
      </c>
      <c r="B537">
        <v>3</v>
      </c>
      <c r="C537" t="s">
        <v>1061</v>
      </c>
      <c r="D537" t="s">
        <v>1065</v>
      </c>
      <c r="E537" t="s">
        <v>146</v>
      </c>
      <c r="F537" t="s">
        <v>44</v>
      </c>
      <c r="G537" t="s">
        <v>146</v>
      </c>
      <c r="I537" t="str">
        <f t="shared" si="8"/>
        <v>TP</v>
      </c>
    </row>
    <row r="538" spans="1:9" x14ac:dyDescent="0.2">
      <c r="A538">
        <v>10536036</v>
      </c>
      <c r="B538">
        <v>3</v>
      </c>
      <c r="C538" t="s">
        <v>1061</v>
      </c>
      <c r="D538" t="s">
        <v>1066</v>
      </c>
      <c r="E538" t="s">
        <v>146</v>
      </c>
      <c r="F538" t="s">
        <v>44</v>
      </c>
      <c r="G538" t="s">
        <v>146</v>
      </c>
      <c r="I538" t="str">
        <f t="shared" si="8"/>
        <v>TP</v>
      </c>
    </row>
    <row r="539" spans="1:9" x14ac:dyDescent="0.2">
      <c r="A539">
        <v>10536036</v>
      </c>
      <c r="B539">
        <v>3</v>
      </c>
      <c r="C539" t="s">
        <v>1061</v>
      </c>
      <c r="D539" t="s">
        <v>1067</v>
      </c>
      <c r="E539" t="s">
        <v>146</v>
      </c>
      <c r="F539" t="s">
        <v>61</v>
      </c>
      <c r="G539" t="s">
        <v>146</v>
      </c>
      <c r="I539" t="str">
        <f t="shared" si="8"/>
        <v>TP</v>
      </c>
    </row>
    <row r="540" spans="1:9" x14ac:dyDescent="0.2">
      <c r="A540">
        <v>10536036</v>
      </c>
      <c r="B540">
        <v>4</v>
      </c>
      <c r="C540" t="s">
        <v>1068</v>
      </c>
      <c r="D540" t="s">
        <v>870</v>
      </c>
      <c r="E540" t="s">
        <v>1086</v>
      </c>
      <c r="F540" t="s">
        <v>38</v>
      </c>
      <c r="G540" t="s">
        <v>1086</v>
      </c>
      <c r="I540" t="str">
        <f t="shared" si="8"/>
        <v/>
      </c>
    </row>
    <row r="541" spans="1:9" x14ac:dyDescent="0.2">
      <c r="A541">
        <v>10536036</v>
      </c>
      <c r="B541">
        <v>4</v>
      </c>
      <c r="C541" t="s">
        <v>1068</v>
      </c>
      <c r="D541" t="s">
        <v>197</v>
      </c>
      <c r="E541" t="s">
        <v>1086</v>
      </c>
      <c r="F541" t="s">
        <v>38</v>
      </c>
      <c r="G541" t="s">
        <v>1086</v>
      </c>
      <c r="I541" t="str">
        <f t="shared" si="8"/>
        <v/>
      </c>
    </row>
    <row r="542" spans="1:9" x14ac:dyDescent="0.2">
      <c r="A542">
        <v>10536036</v>
      </c>
      <c r="B542">
        <v>5</v>
      </c>
      <c r="C542" t="s">
        <v>1069</v>
      </c>
      <c r="D542" t="s">
        <v>1070</v>
      </c>
      <c r="E542" t="s">
        <v>1086</v>
      </c>
      <c r="F542" t="s">
        <v>44</v>
      </c>
      <c r="G542" t="s">
        <v>1086</v>
      </c>
      <c r="I542" t="str">
        <f t="shared" si="8"/>
        <v/>
      </c>
    </row>
    <row r="543" spans="1:9" x14ac:dyDescent="0.2">
      <c r="A543">
        <v>10536036</v>
      </c>
      <c r="B543">
        <v>6</v>
      </c>
      <c r="C543" t="s">
        <v>1071</v>
      </c>
      <c r="D543" t="s">
        <v>1072</v>
      </c>
      <c r="E543" t="s">
        <v>1086</v>
      </c>
      <c r="F543" t="s">
        <v>44</v>
      </c>
      <c r="G543" t="s">
        <v>1086</v>
      </c>
      <c r="I543" t="str">
        <f t="shared" si="8"/>
        <v/>
      </c>
    </row>
    <row r="544" spans="1:9" x14ac:dyDescent="0.2">
      <c r="A544">
        <v>10536036</v>
      </c>
      <c r="B544">
        <v>6</v>
      </c>
      <c r="C544" t="s">
        <v>1071</v>
      </c>
      <c r="D544" t="s">
        <v>1073</v>
      </c>
      <c r="E544" t="s">
        <v>146</v>
      </c>
      <c r="F544" t="s">
        <v>44</v>
      </c>
      <c r="G544" t="s">
        <v>167</v>
      </c>
      <c r="I544" t="str">
        <f t="shared" si="8"/>
        <v>FP</v>
      </c>
    </row>
    <row r="545" spans="1:9" x14ac:dyDescent="0.2">
      <c r="A545">
        <v>10536036</v>
      </c>
      <c r="B545">
        <v>6</v>
      </c>
      <c r="C545" t="s">
        <v>1071</v>
      </c>
      <c r="D545" t="s">
        <v>1074</v>
      </c>
      <c r="E545" t="s">
        <v>146</v>
      </c>
      <c r="F545" t="s">
        <v>44</v>
      </c>
      <c r="G545" t="s">
        <v>146</v>
      </c>
      <c r="I545" t="str">
        <f t="shared" si="8"/>
        <v>TP</v>
      </c>
    </row>
    <row r="546" spans="1:9" x14ac:dyDescent="0.2">
      <c r="A546">
        <v>10536036</v>
      </c>
      <c r="B546">
        <v>6</v>
      </c>
      <c r="C546" t="s">
        <v>1071</v>
      </c>
      <c r="D546" t="s">
        <v>1075</v>
      </c>
      <c r="E546" t="s">
        <v>146</v>
      </c>
      <c r="F546" t="s">
        <v>44</v>
      </c>
      <c r="G546" t="s">
        <v>146</v>
      </c>
      <c r="I546" t="str">
        <f t="shared" si="8"/>
        <v>TP</v>
      </c>
    </row>
    <row r="547" spans="1:9" x14ac:dyDescent="0.2">
      <c r="A547">
        <v>10536036</v>
      </c>
      <c r="B547">
        <v>7</v>
      </c>
      <c r="C547" t="s">
        <v>1076</v>
      </c>
      <c r="D547" t="s">
        <v>1077</v>
      </c>
      <c r="E547" t="s">
        <v>146</v>
      </c>
      <c r="F547" t="s">
        <v>44</v>
      </c>
      <c r="G547" t="s">
        <v>146</v>
      </c>
      <c r="I547" t="str">
        <f t="shared" si="8"/>
        <v>TP</v>
      </c>
    </row>
    <row r="548" spans="1:9" x14ac:dyDescent="0.2">
      <c r="A548">
        <v>10536036</v>
      </c>
      <c r="B548">
        <v>7</v>
      </c>
      <c r="C548" t="s">
        <v>1076</v>
      </c>
      <c r="D548" t="s">
        <v>884</v>
      </c>
      <c r="E548" t="s">
        <v>1086</v>
      </c>
      <c r="F548" t="s">
        <v>38</v>
      </c>
      <c r="G548" t="s">
        <v>1086</v>
      </c>
      <c r="I548" t="str">
        <f t="shared" si="8"/>
        <v/>
      </c>
    </row>
    <row r="549" spans="1:9" x14ac:dyDescent="0.2">
      <c r="A549">
        <v>10536036</v>
      </c>
      <c r="B549">
        <v>8</v>
      </c>
      <c r="C549" t="s">
        <v>1078</v>
      </c>
      <c r="D549" t="s">
        <v>1079</v>
      </c>
      <c r="E549" t="s">
        <v>146</v>
      </c>
      <c r="F549" t="s">
        <v>44</v>
      </c>
      <c r="G549" t="s">
        <v>146</v>
      </c>
      <c r="I549" t="str">
        <f t="shared" si="8"/>
        <v>TP</v>
      </c>
    </row>
    <row r="550" spans="1:9" x14ac:dyDescent="0.2">
      <c r="A550">
        <v>10536036</v>
      </c>
      <c r="B550">
        <v>8</v>
      </c>
      <c r="C550" t="s">
        <v>1078</v>
      </c>
      <c r="D550" t="s">
        <v>1058</v>
      </c>
      <c r="E550" t="s">
        <v>146</v>
      </c>
      <c r="F550" t="s">
        <v>61</v>
      </c>
      <c r="G550" t="s">
        <v>146</v>
      </c>
      <c r="I550" t="str">
        <f t="shared" si="8"/>
        <v>TP</v>
      </c>
    </row>
    <row r="551" spans="1:9" x14ac:dyDescent="0.2">
      <c r="A551">
        <v>10536036</v>
      </c>
      <c r="B551">
        <v>8</v>
      </c>
      <c r="C551" t="s">
        <v>1078</v>
      </c>
      <c r="D551" t="s">
        <v>1080</v>
      </c>
      <c r="E551" t="s">
        <v>146</v>
      </c>
      <c r="F551" t="s">
        <v>44</v>
      </c>
      <c r="G551" t="s">
        <v>146</v>
      </c>
      <c r="I551" t="str">
        <f t="shared" si="8"/>
        <v>TP</v>
      </c>
    </row>
    <row r="552" spans="1:9" x14ac:dyDescent="0.2">
      <c r="A552">
        <v>10536036</v>
      </c>
      <c r="B552">
        <v>9</v>
      </c>
      <c r="C552" t="s">
        <v>1081</v>
      </c>
      <c r="D552" t="s">
        <v>1082</v>
      </c>
      <c r="E552" t="s">
        <v>146</v>
      </c>
      <c r="F552" t="s">
        <v>44</v>
      </c>
      <c r="G552" t="s">
        <v>146</v>
      </c>
      <c r="I552" t="str">
        <f t="shared" si="8"/>
        <v>TP</v>
      </c>
    </row>
    <row r="553" spans="1:9" x14ac:dyDescent="0.2">
      <c r="A553">
        <v>10536036</v>
      </c>
      <c r="B553">
        <v>9</v>
      </c>
      <c r="C553" t="s">
        <v>1081</v>
      </c>
      <c r="D553" t="s">
        <v>1083</v>
      </c>
      <c r="E553" t="s">
        <v>146</v>
      </c>
      <c r="F553" t="s">
        <v>44</v>
      </c>
      <c r="G553" t="s">
        <v>146</v>
      </c>
      <c r="I553" t="str">
        <f t="shared" si="8"/>
        <v>TP</v>
      </c>
    </row>
    <row r="554" spans="1:9" x14ac:dyDescent="0.2">
      <c r="A554">
        <v>10536036</v>
      </c>
      <c r="B554">
        <v>9</v>
      </c>
      <c r="C554" t="s">
        <v>1081</v>
      </c>
      <c r="D554" t="s">
        <v>1084</v>
      </c>
      <c r="E554" t="s">
        <v>146</v>
      </c>
      <c r="F554" t="s">
        <v>44</v>
      </c>
      <c r="G554" t="s">
        <v>146</v>
      </c>
      <c r="I554" t="str">
        <f t="shared" si="8"/>
        <v>TP</v>
      </c>
    </row>
    <row r="555" spans="1:9" x14ac:dyDescent="0.2">
      <c r="A555">
        <v>10536036</v>
      </c>
      <c r="B555">
        <v>9</v>
      </c>
      <c r="C555" t="s">
        <v>1081</v>
      </c>
      <c r="D555" t="s">
        <v>1085</v>
      </c>
      <c r="E555" t="s">
        <v>146</v>
      </c>
      <c r="F555" t="s">
        <v>44</v>
      </c>
      <c r="G555" t="s">
        <v>146</v>
      </c>
      <c r="I555" t="str">
        <f t="shared" si="8"/>
        <v>TP</v>
      </c>
    </row>
  </sheetData>
  <autoFilter ref="A1:I555" xr:uid="{0A6EE84B-00C1-F247-B6FB-C965DF29990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2B1E4-F3A4-C348-A373-62C9BBB63F31}">
  <dimension ref="A1:O625"/>
  <sheetViews>
    <sheetView topLeftCell="A64" zoomScale="89" workbookViewId="0">
      <selection activeCell="A74" sqref="A74"/>
    </sheetView>
  </sheetViews>
  <sheetFormatPr baseColWidth="10" defaultColWidth="8.83203125" defaultRowHeight="16" x14ac:dyDescent="0.2"/>
  <cols>
    <col min="1" max="1" width="51.83203125" customWidth="1"/>
    <col min="3" max="3" width="38.1640625" customWidth="1"/>
    <col min="4" max="4" width="61.83203125" customWidth="1"/>
    <col min="5" max="5" width="35.83203125" customWidth="1"/>
    <col min="6" max="6" width="14" customWidth="1"/>
    <col min="7" max="7" width="24.1640625" customWidth="1"/>
    <col min="8" max="8" width="21.5" customWidth="1"/>
    <col min="9" max="9" width="16.33203125" customWidth="1"/>
    <col min="10" max="10" width="27.33203125" customWidth="1"/>
    <col min="11" max="11" width="42.33203125" customWidth="1"/>
    <col min="12" max="12" width="46.5" customWidth="1"/>
    <col min="13" max="13" width="31.5" customWidth="1"/>
  </cols>
  <sheetData>
    <row r="1" spans="1:14" x14ac:dyDescent="0.2">
      <c r="A1" s="1" t="s">
        <v>28</v>
      </c>
      <c r="B1" s="1" t="s">
        <v>29</v>
      </c>
      <c r="C1" s="1" t="s">
        <v>30</v>
      </c>
      <c r="D1" s="1" t="s">
        <v>31</v>
      </c>
      <c r="E1" s="1"/>
      <c r="F1" s="1" t="s">
        <v>32</v>
      </c>
      <c r="G1" s="1"/>
      <c r="H1" s="1" t="s">
        <v>33</v>
      </c>
      <c r="I1" s="1" t="s">
        <v>34</v>
      </c>
      <c r="J1" s="1" t="s">
        <v>35</v>
      </c>
      <c r="K1" s="15" t="s">
        <v>1120</v>
      </c>
      <c r="L1" s="15" t="s">
        <v>1121</v>
      </c>
      <c r="M1" s="2" t="s">
        <v>155</v>
      </c>
    </row>
    <row r="2" spans="1:14" x14ac:dyDescent="0.2">
      <c r="A2">
        <v>1323463</v>
      </c>
      <c r="B2">
        <v>0</v>
      </c>
      <c r="C2" t="s">
        <v>1122</v>
      </c>
      <c r="D2" t="s">
        <v>1123</v>
      </c>
      <c r="F2" t="s">
        <v>38</v>
      </c>
      <c r="M2" t="str">
        <f>IF(OR(E2="FP",G2="FP"),"FP",IF(AND(E2="TP",E2="TP"),"TP",""))</f>
        <v/>
      </c>
      <c r="N2" t="str">
        <f>IF(OR(E2="FP",G2="FP"),"FP",IF(AND(E2="TP",E2="TP"),"TP",""))</f>
        <v/>
      </c>
    </row>
    <row r="3" spans="1:14" x14ac:dyDescent="0.2">
      <c r="A3">
        <v>1323463</v>
      </c>
      <c r="B3">
        <v>0</v>
      </c>
      <c r="C3" t="s">
        <v>1122</v>
      </c>
      <c r="D3" t="s">
        <v>1124</v>
      </c>
      <c r="F3" t="s">
        <v>38</v>
      </c>
      <c r="N3" t="str">
        <f t="shared" ref="N3:N66" si="0">IF(OR(E3="FP",G3="FP"),"FP",IF(AND(E3="TP",E3="TP"),"TP",""))</f>
        <v/>
      </c>
    </row>
    <row r="4" spans="1:14" x14ac:dyDescent="0.2">
      <c r="A4">
        <v>1323463</v>
      </c>
      <c r="B4">
        <v>1</v>
      </c>
      <c r="C4" t="s">
        <v>1125</v>
      </c>
      <c r="D4" t="s">
        <v>1126</v>
      </c>
      <c r="F4" t="s">
        <v>38</v>
      </c>
      <c r="N4" t="str">
        <f t="shared" si="0"/>
        <v/>
      </c>
    </row>
    <row r="5" spans="1:14" x14ac:dyDescent="0.2">
      <c r="A5">
        <v>1323463</v>
      </c>
      <c r="B5">
        <v>2</v>
      </c>
      <c r="C5" t="s">
        <v>1127</v>
      </c>
      <c r="D5" t="s">
        <v>1128</v>
      </c>
      <c r="F5" t="s">
        <v>38</v>
      </c>
      <c r="N5" t="str">
        <f t="shared" si="0"/>
        <v/>
      </c>
    </row>
    <row r="6" spans="1:14" ht="19" x14ac:dyDescent="0.2">
      <c r="A6">
        <v>1323463</v>
      </c>
      <c r="B6">
        <v>3</v>
      </c>
      <c r="C6" t="s">
        <v>1129</v>
      </c>
      <c r="D6" t="s">
        <v>1130</v>
      </c>
      <c r="E6" t="s">
        <v>146</v>
      </c>
      <c r="F6" t="s">
        <v>99</v>
      </c>
      <c r="G6" t="s">
        <v>146</v>
      </c>
      <c r="M6" s="16"/>
      <c r="N6" t="str">
        <f t="shared" si="0"/>
        <v>TP</v>
      </c>
    </row>
    <row r="7" spans="1:14" x14ac:dyDescent="0.2">
      <c r="A7">
        <v>1323463</v>
      </c>
      <c r="B7">
        <v>3</v>
      </c>
      <c r="C7" t="s">
        <v>1129</v>
      </c>
      <c r="D7" t="s">
        <v>60</v>
      </c>
      <c r="E7" t="s">
        <v>146</v>
      </c>
      <c r="F7" t="s">
        <v>61</v>
      </c>
      <c r="G7" t="s">
        <v>146</v>
      </c>
      <c r="K7" t="s">
        <v>159</v>
      </c>
      <c r="N7" t="str">
        <f t="shared" si="0"/>
        <v>TP</v>
      </c>
    </row>
    <row r="8" spans="1:14" x14ac:dyDescent="0.2">
      <c r="A8">
        <v>1323463</v>
      </c>
      <c r="B8">
        <v>3</v>
      </c>
      <c r="C8" t="s">
        <v>1129</v>
      </c>
      <c r="D8" t="s">
        <v>1131</v>
      </c>
      <c r="E8" t="s">
        <v>146</v>
      </c>
      <c r="F8" t="s">
        <v>61</v>
      </c>
      <c r="G8" t="s">
        <v>146</v>
      </c>
      <c r="K8" t="s">
        <v>159</v>
      </c>
      <c r="N8" t="str">
        <f t="shared" si="0"/>
        <v>TP</v>
      </c>
    </row>
    <row r="9" spans="1:14" x14ac:dyDescent="0.2">
      <c r="A9">
        <v>1323463</v>
      </c>
      <c r="B9">
        <v>4</v>
      </c>
      <c r="C9" t="s">
        <v>1132</v>
      </c>
      <c r="D9" t="s">
        <v>227</v>
      </c>
      <c r="E9" t="s">
        <v>146</v>
      </c>
      <c r="F9" t="s">
        <v>61</v>
      </c>
      <c r="G9" t="s">
        <v>146</v>
      </c>
      <c r="N9" t="str">
        <f t="shared" si="0"/>
        <v>TP</v>
      </c>
    </row>
    <row r="10" spans="1:14" ht="19" x14ac:dyDescent="0.2">
      <c r="A10">
        <v>1323463</v>
      </c>
      <c r="B10">
        <v>4</v>
      </c>
      <c r="C10" t="s">
        <v>1132</v>
      </c>
      <c r="D10" t="s">
        <v>1133</v>
      </c>
      <c r="E10" t="s">
        <v>146</v>
      </c>
      <c r="F10" t="s">
        <v>99</v>
      </c>
      <c r="G10" t="s">
        <v>146</v>
      </c>
      <c r="M10" s="16"/>
      <c r="N10" t="str">
        <f t="shared" si="0"/>
        <v>TP</v>
      </c>
    </row>
    <row r="11" spans="1:14" x14ac:dyDescent="0.2">
      <c r="A11">
        <v>1323463</v>
      </c>
      <c r="B11">
        <v>5</v>
      </c>
      <c r="C11" t="s">
        <v>1134</v>
      </c>
      <c r="D11" t="s">
        <v>1135</v>
      </c>
      <c r="E11" t="s">
        <v>146</v>
      </c>
      <c r="F11" t="s">
        <v>44</v>
      </c>
      <c r="G11" t="s">
        <v>146</v>
      </c>
      <c r="H11" t="s">
        <v>357</v>
      </c>
      <c r="I11" t="s">
        <v>358</v>
      </c>
      <c r="J11" t="s">
        <v>8</v>
      </c>
      <c r="N11" t="str">
        <f t="shared" si="0"/>
        <v>TP</v>
      </c>
    </row>
    <row r="12" spans="1:14" x14ac:dyDescent="0.2">
      <c r="A12">
        <v>1323463</v>
      </c>
      <c r="B12">
        <v>5</v>
      </c>
      <c r="C12" t="s">
        <v>1134</v>
      </c>
      <c r="D12" t="s">
        <v>1136</v>
      </c>
      <c r="E12" t="s">
        <v>1086</v>
      </c>
      <c r="F12" t="s">
        <v>44</v>
      </c>
      <c r="G12" t="s">
        <v>1086</v>
      </c>
      <c r="J12" t="s">
        <v>10</v>
      </c>
      <c r="N12" t="str">
        <f t="shared" si="0"/>
        <v/>
      </c>
    </row>
    <row r="13" spans="1:14" x14ac:dyDescent="0.2">
      <c r="A13">
        <v>1323463</v>
      </c>
      <c r="B13">
        <v>5</v>
      </c>
      <c r="C13" t="s">
        <v>1134</v>
      </c>
      <c r="D13" t="s">
        <v>558</v>
      </c>
      <c r="F13" t="s">
        <v>38</v>
      </c>
      <c r="N13" t="str">
        <f t="shared" si="0"/>
        <v/>
      </c>
    </row>
    <row r="14" spans="1:14" x14ac:dyDescent="0.2">
      <c r="A14">
        <v>1388166</v>
      </c>
      <c r="B14">
        <v>0</v>
      </c>
      <c r="C14" t="s">
        <v>1137</v>
      </c>
      <c r="D14" t="s">
        <v>1138</v>
      </c>
      <c r="F14" t="s">
        <v>38</v>
      </c>
      <c r="N14" t="str">
        <f t="shared" si="0"/>
        <v/>
      </c>
    </row>
    <row r="15" spans="1:14" x14ac:dyDescent="0.2">
      <c r="A15">
        <v>1388166</v>
      </c>
      <c r="B15">
        <v>0</v>
      </c>
      <c r="C15" t="s">
        <v>1137</v>
      </c>
      <c r="D15" t="s">
        <v>1139</v>
      </c>
      <c r="E15" t="s">
        <v>146</v>
      </c>
      <c r="F15" t="s">
        <v>99</v>
      </c>
      <c r="G15" t="s">
        <v>146</v>
      </c>
      <c r="N15" t="str">
        <f t="shared" si="0"/>
        <v>TP</v>
      </c>
    </row>
    <row r="16" spans="1:14" x14ac:dyDescent="0.2">
      <c r="A16">
        <v>1388166</v>
      </c>
      <c r="B16">
        <v>1</v>
      </c>
      <c r="C16" t="s">
        <v>1140</v>
      </c>
      <c r="D16" t="s">
        <v>1141</v>
      </c>
      <c r="F16" t="s">
        <v>38</v>
      </c>
      <c r="N16" t="str">
        <f t="shared" si="0"/>
        <v/>
      </c>
    </row>
    <row r="17" spans="1:15" x14ac:dyDescent="0.2">
      <c r="A17">
        <v>1388166</v>
      </c>
      <c r="B17">
        <v>2</v>
      </c>
      <c r="C17" t="s">
        <v>1142</v>
      </c>
      <c r="D17" t="s">
        <v>558</v>
      </c>
      <c r="F17" t="s">
        <v>38</v>
      </c>
      <c r="M17" t="s">
        <v>1785</v>
      </c>
      <c r="N17" t="str">
        <f t="shared" si="0"/>
        <v/>
      </c>
      <c r="O17" t="s">
        <v>1993</v>
      </c>
    </row>
    <row r="18" spans="1:15" x14ac:dyDescent="0.2">
      <c r="A18">
        <v>1388166</v>
      </c>
      <c r="B18">
        <v>3</v>
      </c>
      <c r="C18" t="s">
        <v>1143</v>
      </c>
      <c r="D18" t="s">
        <v>880</v>
      </c>
      <c r="F18" t="s">
        <v>38</v>
      </c>
      <c r="N18" t="str">
        <f t="shared" si="0"/>
        <v/>
      </c>
    </row>
    <row r="19" spans="1:15" x14ac:dyDescent="0.2">
      <c r="A19">
        <v>1388166</v>
      </c>
      <c r="B19">
        <v>4</v>
      </c>
      <c r="C19" t="s">
        <v>1144</v>
      </c>
      <c r="D19" t="s">
        <v>512</v>
      </c>
      <c r="E19" t="s">
        <v>146</v>
      </c>
      <c r="F19" t="s">
        <v>61</v>
      </c>
      <c r="G19" t="s">
        <v>146</v>
      </c>
      <c r="N19" t="str">
        <f t="shared" si="0"/>
        <v>TP</v>
      </c>
    </row>
    <row r="20" spans="1:15" x14ac:dyDescent="0.2">
      <c r="A20">
        <v>1388166</v>
      </c>
      <c r="B20">
        <v>4</v>
      </c>
      <c r="C20" t="s">
        <v>1144</v>
      </c>
      <c r="D20" t="s">
        <v>197</v>
      </c>
      <c r="F20" t="s">
        <v>38</v>
      </c>
      <c r="N20" t="str">
        <f t="shared" si="0"/>
        <v/>
      </c>
    </row>
    <row r="21" spans="1:15" x14ac:dyDescent="0.2">
      <c r="A21">
        <v>1388166</v>
      </c>
      <c r="B21">
        <v>5</v>
      </c>
      <c r="C21" t="s">
        <v>1145</v>
      </c>
      <c r="D21" t="s">
        <v>1146</v>
      </c>
      <c r="F21" t="s">
        <v>38</v>
      </c>
      <c r="N21" t="str">
        <f t="shared" si="0"/>
        <v/>
      </c>
    </row>
    <row r="22" spans="1:15" x14ac:dyDescent="0.2">
      <c r="A22">
        <v>1388166</v>
      </c>
      <c r="B22">
        <v>6</v>
      </c>
      <c r="C22" t="s">
        <v>1147</v>
      </c>
      <c r="D22" t="s">
        <v>512</v>
      </c>
      <c r="E22" t="s">
        <v>146</v>
      </c>
      <c r="F22" t="s">
        <v>61</v>
      </c>
      <c r="G22" t="s">
        <v>146</v>
      </c>
      <c r="N22" t="str">
        <f t="shared" si="0"/>
        <v>TP</v>
      </c>
    </row>
    <row r="23" spans="1:15" x14ac:dyDescent="0.2">
      <c r="A23">
        <v>1388166</v>
      </c>
      <c r="B23">
        <v>7</v>
      </c>
      <c r="C23" t="s">
        <v>1148</v>
      </c>
      <c r="D23" t="s">
        <v>1141</v>
      </c>
      <c r="F23" t="s">
        <v>38</v>
      </c>
      <c r="N23" t="str">
        <f t="shared" si="0"/>
        <v/>
      </c>
    </row>
    <row r="24" spans="1:15" x14ac:dyDescent="0.2">
      <c r="A24">
        <v>1388166</v>
      </c>
      <c r="B24">
        <v>8</v>
      </c>
      <c r="C24" t="s">
        <v>1149</v>
      </c>
      <c r="D24" t="s">
        <v>1150</v>
      </c>
      <c r="F24" t="s">
        <v>38</v>
      </c>
      <c r="N24" t="str">
        <f t="shared" si="0"/>
        <v/>
      </c>
    </row>
    <row r="25" spans="1:15" x14ac:dyDescent="0.2">
      <c r="A25">
        <v>1421757</v>
      </c>
      <c r="B25">
        <v>0</v>
      </c>
      <c r="C25" t="s">
        <v>1151</v>
      </c>
      <c r="J25" t="s">
        <v>169</v>
      </c>
      <c r="N25" t="str">
        <f t="shared" si="0"/>
        <v/>
      </c>
    </row>
    <row r="26" spans="1:15" x14ac:dyDescent="0.2">
      <c r="A26">
        <v>1421757</v>
      </c>
      <c r="B26">
        <v>1</v>
      </c>
      <c r="C26" t="s">
        <v>1152</v>
      </c>
      <c r="N26" t="str">
        <f t="shared" si="0"/>
        <v/>
      </c>
    </row>
    <row r="27" spans="1:15" x14ac:dyDescent="0.2">
      <c r="A27">
        <v>1421757</v>
      </c>
      <c r="B27">
        <v>2</v>
      </c>
      <c r="C27" t="s">
        <v>1153</v>
      </c>
      <c r="J27" t="s">
        <v>169</v>
      </c>
      <c r="N27" t="str">
        <f t="shared" si="0"/>
        <v/>
      </c>
    </row>
    <row r="28" spans="1:15" x14ac:dyDescent="0.2">
      <c r="A28">
        <v>1421757</v>
      </c>
      <c r="B28">
        <v>3</v>
      </c>
      <c r="C28" t="s">
        <v>1154</v>
      </c>
      <c r="J28" t="s">
        <v>169</v>
      </c>
      <c r="N28" t="str">
        <f t="shared" si="0"/>
        <v/>
      </c>
    </row>
    <row r="29" spans="1:15" x14ac:dyDescent="0.2">
      <c r="A29">
        <v>1421757</v>
      </c>
      <c r="B29">
        <v>4</v>
      </c>
      <c r="C29" t="s">
        <v>1155</v>
      </c>
      <c r="D29" t="s">
        <v>1156</v>
      </c>
      <c r="E29" t="s">
        <v>146</v>
      </c>
      <c r="F29" t="s">
        <v>44</v>
      </c>
      <c r="G29" t="s">
        <v>146</v>
      </c>
      <c r="J29" t="s">
        <v>10</v>
      </c>
      <c r="N29" t="str">
        <f t="shared" si="0"/>
        <v>TP</v>
      </c>
    </row>
    <row r="30" spans="1:15" x14ac:dyDescent="0.2">
      <c r="A30">
        <v>1421757</v>
      </c>
      <c r="B30">
        <v>4</v>
      </c>
      <c r="C30" t="s">
        <v>1155</v>
      </c>
      <c r="D30" t="s">
        <v>227</v>
      </c>
      <c r="E30" t="s">
        <v>146</v>
      </c>
      <c r="F30" t="s">
        <v>61</v>
      </c>
      <c r="G30" t="s">
        <v>146</v>
      </c>
      <c r="N30" t="str">
        <f t="shared" si="0"/>
        <v>TP</v>
      </c>
    </row>
    <row r="31" spans="1:15" x14ac:dyDescent="0.2">
      <c r="A31">
        <v>1456441</v>
      </c>
      <c r="B31">
        <v>0</v>
      </c>
      <c r="C31" t="s">
        <v>1157</v>
      </c>
      <c r="J31" t="s">
        <v>169</v>
      </c>
      <c r="N31" t="str">
        <f t="shared" si="0"/>
        <v/>
      </c>
    </row>
    <row r="32" spans="1:15" x14ac:dyDescent="0.2">
      <c r="A32">
        <v>1456441</v>
      </c>
      <c r="B32">
        <v>1</v>
      </c>
      <c r="C32" t="s">
        <v>1158</v>
      </c>
      <c r="J32" t="s">
        <v>169</v>
      </c>
      <c r="N32" t="str">
        <f t="shared" si="0"/>
        <v/>
      </c>
    </row>
    <row r="33" spans="1:14" x14ac:dyDescent="0.2">
      <c r="A33">
        <v>1456441</v>
      </c>
      <c r="B33">
        <v>2</v>
      </c>
      <c r="C33" t="s">
        <v>1159</v>
      </c>
      <c r="J33" t="s">
        <v>169</v>
      </c>
      <c r="N33" t="str">
        <f t="shared" si="0"/>
        <v/>
      </c>
    </row>
    <row r="34" spans="1:14" x14ac:dyDescent="0.2">
      <c r="A34">
        <v>1456441</v>
      </c>
      <c r="B34">
        <v>3</v>
      </c>
      <c r="C34" t="s">
        <v>1160</v>
      </c>
      <c r="J34" t="s">
        <v>169</v>
      </c>
      <c r="N34" t="str">
        <f t="shared" si="0"/>
        <v/>
      </c>
    </row>
    <row r="35" spans="1:14" x14ac:dyDescent="0.2">
      <c r="A35">
        <v>1456441</v>
      </c>
      <c r="B35">
        <v>4</v>
      </c>
      <c r="C35" t="s">
        <v>1161</v>
      </c>
      <c r="J35" t="s">
        <v>169</v>
      </c>
      <c r="N35" t="str">
        <f t="shared" si="0"/>
        <v/>
      </c>
    </row>
    <row r="36" spans="1:14" x14ac:dyDescent="0.2">
      <c r="A36">
        <v>1456441</v>
      </c>
      <c r="B36">
        <v>5</v>
      </c>
      <c r="C36" t="s">
        <v>1162</v>
      </c>
      <c r="J36" t="s">
        <v>169</v>
      </c>
      <c r="N36" t="str">
        <f t="shared" si="0"/>
        <v/>
      </c>
    </row>
    <row r="37" spans="1:14" x14ac:dyDescent="0.2">
      <c r="A37">
        <v>1456441</v>
      </c>
      <c r="B37">
        <v>6</v>
      </c>
      <c r="C37" t="s">
        <v>1163</v>
      </c>
      <c r="D37" t="s">
        <v>197</v>
      </c>
      <c r="F37" t="s">
        <v>38</v>
      </c>
      <c r="N37" t="str">
        <f t="shared" si="0"/>
        <v/>
      </c>
    </row>
    <row r="38" spans="1:14" x14ac:dyDescent="0.2">
      <c r="A38">
        <v>1456441</v>
      </c>
      <c r="B38">
        <v>6</v>
      </c>
      <c r="C38" t="s">
        <v>1163</v>
      </c>
      <c r="D38" t="s">
        <v>558</v>
      </c>
      <c r="F38" t="s">
        <v>38</v>
      </c>
      <c r="N38" t="str">
        <f t="shared" si="0"/>
        <v/>
      </c>
    </row>
    <row r="39" spans="1:14" x14ac:dyDescent="0.2">
      <c r="A39">
        <v>1456441</v>
      </c>
      <c r="B39">
        <v>7</v>
      </c>
      <c r="C39" t="s">
        <v>1164</v>
      </c>
      <c r="D39" t="s">
        <v>558</v>
      </c>
      <c r="F39" t="s">
        <v>38</v>
      </c>
      <c r="N39" t="str">
        <f t="shared" si="0"/>
        <v/>
      </c>
    </row>
    <row r="40" spans="1:14" x14ac:dyDescent="0.2">
      <c r="A40">
        <v>1456441</v>
      </c>
      <c r="B40">
        <v>7</v>
      </c>
      <c r="C40" t="s">
        <v>1164</v>
      </c>
      <c r="D40" t="s">
        <v>1165</v>
      </c>
      <c r="E40" t="s">
        <v>146</v>
      </c>
      <c r="F40" t="s">
        <v>44</v>
      </c>
      <c r="G40" t="s">
        <v>146</v>
      </c>
      <c r="J40" t="s">
        <v>10</v>
      </c>
      <c r="N40" t="str">
        <f t="shared" si="0"/>
        <v>TP</v>
      </c>
    </row>
    <row r="41" spans="1:14" x14ac:dyDescent="0.2">
      <c r="A41">
        <v>1456441</v>
      </c>
      <c r="B41">
        <v>8</v>
      </c>
      <c r="C41" t="s">
        <v>1166</v>
      </c>
      <c r="D41" t="s">
        <v>1167</v>
      </c>
      <c r="E41" t="s">
        <v>146</v>
      </c>
      <c r="F41" t="s">
        <v>44</v>
      </c>
      <c r="G41" t="s">
        <v>146</v>
      </c>
      <c r="J41" t="s">
        <v>10</v>
      </c>
      <c r="N41" t="str">
        <f t="shared" si="0"/>
        <v>TP</v>
      </c>
    </row>
    <row r="42" spans="1:14" x14ac:dyDescent="0.2">
      <c r="A42">
        <v>1456441</v>
      </c>
      <c r="B42">
        <v>9</v>
      </c>
      <c r="C42" t="s">
        <v>1168</v>
      </c>
      <c r="D42" t="s">
        <v>1169</v>
      </c>
      <c r="E42" t="s">
        <v>146</v>
      </c>
      <c r="F42" t="s">
        <v>44</v>
      </c>
      <c r="G42" t="s">
        <v>146</v>
      </c>
      <c r="J42" t="s">
        <v>10</v>
      </c>
      <c r="K42" t="s">
        <v>159</v>
      </c>
      <c r="N42" t="str">
        <f t="shared" si="0"/>
        <v>TP</v>
      </c>
    </row>
    <row r="43" spans="1:14" x14ac:dyDescent="0.2">
      <c r="A43">
        <v>1456441</v>
      </c>
      <c r="B43">
        <v>9</v>
      </c>
      <c r="C43" t="s">
        <v>1168</v>
      </c>
      <c r="D43" t="s">
        <v>1170</v>
      </c>
      <c r="E43" t="s">
        <v>146</v>
      </c>
      <c r="F43" t="s">
        <v>44</v>
      </c>
      <c r="G43" t="s">
        <v>146</v>
      </c>
      <c r="J43" t="s">
        <v>10</v>
      </c>
      <c r="K43" t="s">
        <v>159</v>
      </c>
      <c r="N43" t="str">
        <f t="shared" si="0"/>
        <v>TP</v>
      </c>
    </row>
    <row r="44" spans="1:14" x14ac:dyDescent="0.2">
      <c r="A44">
        <v>1456441</v>
      </c>
      <c r="B44">
        <v>10</v>
      </c>
      <c r="C44" t="s">
        <v>1171</v>
      </c>
      <c r="J44" t="s">
        <v>169</v>
      </c>
      <c r="N44" t="str">
        <f t="shared" si="0"/>
        <v/>
      </c>
    </row>
    <row r="45" spans="1:14" x14ac:dyDescent="0.2">
      <c r="A45">
        <v>1456441</v>
      </c>
      <c r="B45">
        <v>11</v>
      </c>
      <c r="C45" t="s">
        <v>1172</v>
      </c>
      <c r="D45" t="s">
        <v>558</v>
      </c>
      <c r="F45" t="s">
        <v>38</v>
      </c>
      <c r="N45" t="str">
        <f t="shared" si="0"/>
        <v/>
      </c>
    </row>
    <row r="46" spans="1:14" x14ac:dyDescent="0.2">
      <c r="A46">
        <v>1456441</v>
      </c>
      <c r="B46">
        <v>11</v>
      </c>
      <c r="C46" t="s">
        <v>1172</v>
      </c>
      <c r="D46" t="s">
        <v>1173</v>
      </c>
      <c r="E46" t="s">
        <v>146</v>
      </c>
      <c r="F46" t="s">
        <v>44</v>
      </c>
      <c r="G46" t="s">
        <v>146</v>
      </c>
      <c r="J46" t="s">
        <v>10</v>
      </c>
      <c r="N46" t="str">
        <f t="shared" si="0"/>
        <v>TP</v>
      </c>
    </row>
    <row r="47" spans="1:14" x14ac:dyDescent="0.2">
      <c r="A47">
        <v>1456441</v>
      </c>
      <c r="B47">
        <v>11</v>
      </c>
      <c r="C47" t="s">
        <v>1172</v>
      </c>
      <c r="D47" t="s">
        <v>1174</v>
      </c>
      <c r="E47" t="s">
        <v>146</v>
      </c>
      <c r="F47" t="s">
        <v>44</v>
      </c>
      <c r="G47" t="s">
        <v>146</v>
      </c>
      <c r="J47" t="s">
        <v>10</v>
      </c>
      <c r="N47" t="str">
        <f t="shared" si="0"/>
        <v>TP</v>
      </c>
    </row>
    <row r="48" spans="1:14" x14ac:dyDescent="0.2">
      <c r="A48">
        <v>1456441</v>
      </c>
      <c r="B48">
        <v>12</v>
      </c>
      <c r="C48" t="s">
        <v>1175</v>
      </c>
      <c r="D48" t="s">
        <v>1176</v>
      </c>
      <c r="E48" t="s">
        <v>146</v>
      </c>
      <c r="F48" t="s">
        <v>44</v>
      </c>
      <c r="G48" t="s">
        <v>146</v>
      </c>
      <c r="J48" t="s">
        <v>10</v>
      </c>
      <c r="K48" t="s">
        <v>159</v>
      </c>
      <c r="N48" t="str">
        <f t="shared" si="0"/>
        <v>TP</v>
      </c>
    </row>
    <row r="49" spans="1:14" x14ac:dyDescent="0.2">
      <c r="A49">
        <v>1456441</v>
      </c>
      <c r="B49">
        <v>12</v>
      </c>
      <c r="C49" t="s">
        <v>1175</v>
      </c>
      <c r="D49" t="s">
        <v>1177</v>
      </c>
      <c r="E49" t="s">
        <v>146</v>
      </c>
      <c r="F49" t="s">
        <v>44</v>
      </c>
      <c r="G49" t="s">
        <v>146</v>
      </c>
      <c r="J49" t="s">
        <v>10</v>
      </c>
      <c r="K49" t="s">
        <v>159</v>
      </c>
      <c r="N49" t="str">
        <f t="shared" si="0"/>
        <v>TP</v>
      </c>
    </row>
    <row r="50" spans="1:14" x14ac:dyDescent="0.2">
      <c r="A50">
        <v>1456441</v>
      </c>
      <c r="B50">
        <v>12</v>
      </c>
      <c r="C50" t="s">
        <v>1175</v>
      </c>
      <c r="D50" t="s">
        <v>1178</v>
      </c>
      <c r="E50" t="s">
        <v>146</v>
      </c>
      <c r="F50" t="s">
        <v>44</v>
      </c>
      <c r="G50" t="s">
        <v>146</v>
      </c>
      <c r="J50" t="s">
        <v>10</v>
      </c>
      <c r="N50" t="str">
        <f t="shared" si="0"/>
        <v>TP</v>
      </c>
    </row>
    <row r="51" spans="1:14" x14ac:dyDescent="0.2">
      <c r="A51">
        <v>1457969</v>
      </c>
      <c r="B51">
        <v>0</v>
      </c>
      <c r="C51" t="s">
        <v>1179</v>
      </c>
      <c r="D51" t="s">
        <v>1138</v>
      </c>
      <c r="F51" t="s">
        <v>38</v>
      </c>
      <c r="N51" t="str">
        <f t="shared" si="0"/>
        <v/>
      </c>
    </row>
    <row r="52" spans="1:14" x14ac:dyDescent="0.2">
      <c r="A52">
        <v>1457969</v>
      </c>
      <c r="B52">
        <v>1</v>
      </c>
      <c r="C52" t="s">
        <v>1180</v>
      </c>
      <c r="D52" t="s">
        <v>1181</v>
      </c>
      <c r="F52" t="s">
        <v>38</v>
      </c>
      <c r="N52" t="str">
        <f t="shared" si="0"/>
        <v/>
      </c>
    </row>
    <row r="53" spans="1:14" x14ac:dyDescent="0.2">
      <c r="A53">
        <v>1457969</v>
      </c>
      <c r="B53">
        <v>2</v>
      </c>
      <c r="C53" t="s">
        <v>1182</v>
      </c>
      <c r="J53" t="s">
        <v>169</v>
      </c>
      <c r="N53" t="str">
        <f t="shared" si="0"/>
        <v/>
      </c>
    </row>
    <row r="54" spans="1:14" x14ac:dyDescent="0.2">
      <c r="A54">
        <v>1457969</v>
      </c>
      <c r="B54">
        <v>3</v>
      </c>
      <c r="C54" t="s">
        <v>1183</v>
      </c>
      <c r="J54" t="s">
        <v>169</v>
      </c>
      <c r="N54" t="str">
        <f t="shared" si="0"/>
        <v/>
      </c>
    </row>
    <row r="55" spans="1:14" x14ac:dyDescent="0.2">
      <c r="A55">
        <v>1457969</v>
      </c>
      <c r="B55">
        <v>4</v>
      </c>
      <c r="C55" t="s">
        <v>1184</v>
      </c>
      <c r="D55" t="s">
        <v>558</v>
      </c>
      <c r="F55" t="s">
        <v>38</v>
      </c>
      <c r="N55" t="str">
        <f t="shared" si="0"/>
        <v/>
      </c>
    </row>
    <row r="56" spans="1:14" x14ac:dyDescent="0.2">
      <c r="A56">
        <v>1457969</v>
      </c>
      <c r="B56">
        <v>5</v>
      </c>
      <c r="C56" t="s">
        <v>1185</v>
      </c>
      <c r="D56" t="s">
        <v>1186</v>
      </c>
      <c r="F56" t="s">
        <v>38</v>
      </c>
      <c r="N56" t="str">
        <f t="shared" si="0"/>
        <v/>
      </c>
    </row>
    <row r="57" spans="1:14" x14ac:dyDescent="0.2">
      <c r="A57">
        <v>1457969</v>
      </c>
      <c r="B57">
        <v>5</v>
      </c>
      <c r="C57" t="s">
        <v>1185</v>
      </c>
      <c r="D57" t="s">
        <v>1187</v>
      </c>
      <c r="E57" t="s">
        <v>146</v>
      </c>
      <c r="F57" t="s">
        <v>44</v>
      </c>
      <c r="G57" t="s">
        <v>146</v>
      </c>
      <c r="H57" t="s">
        <v>1188</v>
      </c>
      <c r="I57" t="s">
        <v>1189</v>
      </c>
      <c r="J57" t="s">
        <v>8</v>
      </c>
      <c r="N57" t="str">
        <f t="shared" si="0"/>
        <v>TP</v>
      </c>
    </row>
    <row r="58" spans="1:14" x14ac:dyDescent="0.2">
      <c r="A58">
        <v>1457969</v>
      </c>
      <c r="B58">
        <v>5</v>
      </c>
      <c r="C58" t="s">
        <v>1185</v>
      </c>
      <c r="D58" t="s">
        <v>1190</v>
      </c>
      <c r="E58" t="s">
        <v>146</v>
      </c>
      <c r="F58" t="s">
        <v>99</v>
      </c>
      <c r="G58" t="s">
        <v>146</v>
      </c>
      <c r="N58" t="str">
        <f t="shared" si="0"/>
        <v>TP</v>
      </c>
    </row>
    <row r="59" spans="1:14" x14ac:dyDescent="0.2">
      <c r="A59">
        <v>1457969</v>
      </c>
      <c r="B59">
        <v>5</v>
      </c>
      <c r="C59" t="s">
        <v>1185</v>
      </c>
      <c r="D59" t="s">
        <v>1191</v>
      </c>
      <c r="E59" t="s">
        <v>146</v>
      </c>
      <c r="F59" t="s">
        <v>44</v>
      </c>
      <c r="G59" t="s">
        <v>146</v>
      </c>
      <c r="J59" t="s">
        <v>10</v>
      </c>
      <c r="N59" t="str">
        <f t="shared" si="0"/>
        <v>TP</v>
      </c>
    </row>
    <row r="60" spans="1:14" x14ac:dyDescent="0.2">
      <c r="A60">
        <v>1457969</v>
      </c>
      <c r="B60">
        <v>6</v>
      </c>
      <c r="C60" t="s">
        <v>1192</v>
      </c>
      <c r="D60" t="s">
        <v>1193</v>
      </c>
      <c r="E60" t="s">
        <v>146</v>
      </c>
      <c r="F60" t="s">
        <v>99</v>
      </c>
      <c r="G60" t="s">
        <v>146</v>
      </c>
      <c r="N60" t="str">
        <f t="shared" si="0"/>
        <v>TP</v>
      </c>
    </row>
    <row r="61" spans="1:14" x14ac:dyDescent="0.2">
      <c r="A61">
        <v>1457969</v>
      </c>
      <c r="B61">
        <v>6</v>
      </c>
      <c r="C61" t="s">
        <v>1192</v>
      </c>
      <c r="D61" t="s">
        <v>1194</v>
      </c>
      <c r="E61" t="s">
        <v>146</v>
      </c>
      <c r="F61" t="s">
        <v>99</v>
      </c>
      <c r="G61" t="s">
        <v>146</v>
      </c>
      <c r="N61" t="str">
        <f t="shared" si="0"/>
        <v>TP</v>
      </c>
    </row>
    <row r="62" spans="1:14" x14ac:dyDescent="0.2">
      <c r="A62">
        <v>1457969</v>
      </c>
      <c r="B62">
        <v>6</v>
      </c>
      <c r="C62" t="s">
        <v>1192</v>
      </c>
      <c r="D62" t="s">
        <v>1191</v>
      </c>
      <c r="E62" t="s">
        <v>146</v>
      </c>
      <c r="F62" t="s">
        <v>44</v>
      </c>
      <c r="G62" t="s">
        <v>146</v>
      </c>
      <c r="J62" t="s">
        <v>10</v>
      </c>
      <c r="N62" t="str">
        <f t="shared" si="0"/>
        <v>TP</v>
      </c>
    </row>
    <row r="63" spans="1:14" x14ac:dyDescent="0.2">
      <c r="A63">
        <v>1457969</v>
      </c>
      <c r="B63">
        <v>7</v>
      </c>
      <c r="C63" t="s">
        <v>1195</v>
      </c>
      <c r="D63" t="s">
        <v>1196</v>
      </c>
      <c r="E63" t="s">
        <v>146</v>
      </c>
      <c r="F63" t="s">
        <v>44</v>
      </c>
      <c r="G63" t="s">
        <v>146</v>
      </c>
      <c r="J63" t="s">
        <v>10</v>
      </c>
      <c r="N63" t="str">
        <f t="shared" si="0"/>
        <v>TP</v>
      </c>
    </row>
    <row r="64" spans="1:14" x14ac:dyDescent="0.2">
      <c r="A64">
        <v>1457969</v>
      </c>
      <c r="B64">
        <v>7</v>
      </c>
      <c r="C64" t="s">
        <v>1195</v>
      </c>
      <c r="D64" t="s">
        <v>1197</v>
      </c>
      <c r="E64" t="s">
        <v>146</v>
      </c>
      <c r="F64" t="s">
        <v>44</v>
      </c>
      <c r="G64" t="s">
        <v>146</v>
      </c>
      <c r="J64" t="s">
        <v>10</v>
      </c>
      <c r="K64" t="s">
        <v>159</v>
      </c>
      <c r="N64" t="str">
        <f t="shared" si="0"/>
        <v>TP</v>
      </c>
    </row>
    <row r="65" spans="1:15" x14ac:dyDescent="0.2">
      <c r="A65">
        <v>1457969</v>
      </c>
      <c r="B65">
        <v>7</v>
      </c>
      <c r="C65" t="s">
        <v>1195</v>
      </c>
      <c r="D65" t="s">
        <v>1198</v>
      </c>
      <c r="E65" t="s">
        <v>146</v>
      </c>
      <c r="F65" t="s">
        <v>44</v>
      </c>
      <c r="G65" t="s">
        <v>146</v>
      </c>
      <c r="J65" t="s">
        <v>10</v>
      </c>
      <c r="K65" t="s">
        <v>159</v>
      </c>
      <c r="N65" t="str">
        <f t="shared" si="0"/>
        <v>TP</v>
      </c>
    </row>
    <row r="66" spans="1:15" x14ac:dyDescent="0.2">
      <c r="A66">
        <v>1457969</v>
      </c>
      <c r="B66">
        <v>7</v>
      </c>
      <c r="C66" t="s">
        <v>1195</v>
      </c>
      <c r="D66" t="s">
        <v>1199</v>
      </c>
      <c r="E66" t="s">
        <v>146</v>
      </c>
      <c r="F66" t="s">
        <v>44</v>
      </c>
      <c r="G66" t="s">
        <v>146</v>
      </c>
      <c r="J66" t="s">
        <v>10</v>
      </c>
      <c r="K66" t="s">
        <v>159</v>
      </c>
      <c r="N66" t="str">
        <f t="shared" si="0"/>
        <v>TP</v>
      </c>
    </row>
    <row r="67" spans="1:15" x14ac:dyDescent="0.2">
      <c r="A67">
        <v>1457969</v>
      </c>
      <c r="B67">
        <v>7</v>
      </c>
      <c r="C67" t="s">
        <v>1195</v>
      </c>
      <c r="D67" t="s">
        <v>1200</v>
      </c>
      <c r="E67" t="s">
        <v>146</v>
      </c>
      <c r="F67" t="s">
        <v>44</v>
      </c>
      <c r="G67" t="s">
        <v>146</v>
      </c>
      <c r="J67" t="s">
        <v>10</v>
      </c>
      <c r="K67" t="s">
        <v>159</v>
      </c>
      <c r="N67" t="str">
        <f t="shared" ref="N67:N130" si="1">IF(OR(E67="FP",G67="FP"),"FP",IF(AND(E67="TP",E67="TP"),"TP",""))</f>
        <v>TP</v>
      </c>
    </row>
    <row r="68" spans="1:15" x14ac:dyDescent="0.2">
      <c r="A68">
        <v>1457969</v>
      </c>
      <c r="B68">
        <v>8</v>
      </c>
      <c r="C68" t="s">
        <v>1201</v>
      </c>
      <c r="D68" t="s">
        <v>1186</v>
      </c>
      <c r="F68" t="s">
        <v>38</v>
      </c>
      <c r="N68" t="str">
        <f t="shared" si="1"/>
        <v/>
      </c>
    </row>
    <row r="69" spans="1:15" x14ac:dyDescent="0.2">
      <c r="A69">
        <v>1457969</v>
      </c>
      <c r="B69">
        <v>8</v>
      </c>
      <c r="C69" t="s">
        <v>1201</v>
      </c>
      <c r="D69" t="s">
        <v>1202</v>
      </c>
      <c r="E69" t="s">
        <v>146</v>
      </c>
      <c r="F69" t="s">
        <v>61</v>
      </c>
      <c r="G69" t="s">
        <v>146</v>
      </c>
      <c r="M69" t="s">
        <v>1786</v>
      </c>
      <c r="N69" t="str">
        <f t="shared" si="1"/>
        <v>TP</v>
      </c>
      <c r="O69" t="s">
        <v>1975</v>
      </c>
    </row>
    <row r="70" spans="1:15" x14ac:dyDescent="0.2">
      <c r="A70">
        <v>1457969</v>
      </c>
      <c r="B70">
        <v>8</v>
      </c>
      <c r="C70" t="s">
        <v>1201</v>
      </c>
      <c r="D70" t="s">
        <v>122</v>
      </c>
      <c r="E70" t="s">
        <v>146</v>
      </c>
      <c r="F70" t="s">
        <v>61</v>
      </c>
      <c r="G70" t="s">
        <v>146</v>
      </c>
      <c r="M70" t="s">
        <v>1787</v>
      </c>
      <c r="N70" t="str">
        <f t="shared" si="1"/>
        <v>TP</v>
      </c>
      <c r="O70" t="s">
        <v>1992</v>
      </c>
    </row>
    <row r="71" spans="1:15" x14ac:dyDescent="0.2">
      <c r="A71">
        <v>1457969</v>
      </c>
      <c r="B71">
        <v>8</v>
      </c>
      <c r="C71" t="s">
        <v>1201</v>
      </c>
      <c r="D71" t="s">
        <v>1193</v>
      </c>
      <c r="E71" t="s">
        <v>146</v>
      </c>
      <c r="F71" t="s">
        <v>99</v>
      </c>
      <c r="G71" t="s">
        <v>146</v>
      </c>
      <c r="N71" t="str">
        <f t="shared" si="1"/>
        <v>TP</v>
      </c>
    </row>
    <row r="72" spans="1:15" x14ac:dyDescent="0.2">
      <c r="A72">
        <v>1457969</v>
      </c>
      <c r="B72">
        <v>8</v>
      </c>
      <c r="C72" t="s">
        <v>1201</v>
      </c>
      <c r="D72" t="s">
        <v>1203</v>
      </c>
      <c r="E72" t="s">
        <v>146</v>
      </c>
      <c r="F72" t="s">
        <v>44</v>
      </c>
      <c r="G72" t="s">
        <v>146</v>
      </c>
      <c r="H72" t="s">
        <v>1204</v>
      </c>
      <c r="I72" t="s">
        <v>1205</v>
      </c>
      <c r="J72" t="s">
        <v>8</v>
      </c>
      <c r="N72" t="str">
        <f t="shared" si="1"/>
        <v>TP</v>
      </c>
    </row>
    <row r="73" spans="1:15" x14ac:dyDescent="0.2">
      <c r="A73">
        <v>1468573</v>
      </c>
      <c r="B73">
        <v>0</v>
      </c>
      <c r="C73" t="s">
        <v>1206</v>
      </c>
      <c r="D73" t="s">
        <v>1207</v>
      </c>
      <c r="F73" t="s">
        <v>38</v>
      </c>
      <c r="N73" t="str">
        <f t="shared" si="1"/>
        <v/>
      </c>
    </row>
    <row r="74" spans="1:15" x14ac:dyDescent="0.2">
      <c r="A74">
        <v>1468573</v>
      </c>
      <c r="B74">
        <v>0</v>
      </c>
      <c r="C74" t="s">
        <v>1206</v>
      </c>
      <c r="D74" t="s">
        <v>1208</v>
      </c>
      <c r="E74" t="s">
        <v>146</v>
      </c>
      <c r="F74" t="s">
        <v>99</v>
      </c>
      <c r="G74" t="s">
        <v>146</v>
      </c>
      <c r="N74" t="str">
        <f t="shared" si="1"/>
        <v>TP</v>
      </c>
    </row>
    <row r="75" spans="1:15" x14ac:dyDescent="0.2">
      <c r="A75">
        <v>1468573</v>
      </c>
      <c r="B75">
        <v>1</v>
      </c>
      <c r="C75" t="s">
        <v>1209</v>
      </c>
      <c r="D75" t="s">
        <v>1207</v>
      </c>
      <c r="F75" t="s">
        <v>38</v>
      </c>
      <c r="N75" t="str">
        <f t="shared" si="1"/>
        <v/>
      </c>
    </row>
    <row r="76" spans="1:15" x14ac:dyDescent="0.2">
      <c r="A76">
        <v>1468573</v>
      </c>
      <c r="B76">
        <v>1</v>
      </c>
      <c r="C76" t="s">
        <v>1209</v>
      </c>
      <c r="D76" t="s">
        <v>596</v>
      </c>
      <c r="F76" t="s">
        <v>38</v>
      </c>
      <c r="N76" t="str">
        <f t="shared" si="1"/>
        <v/>
      </c>
    </row>
    <row r="77" spans="1:15" x14ac:dyDescent="0.2">
      <c r="A77">
        <v>1468573</v>
      </c>
      <c r="B77">
        <v>1</v>
      </c>
      <c r="C77" t="s">
        <v>1209</v>
      </c>
      <c r="D77" t="s">
        <v>1203</v>
      </c>
      <c r="E77" t="s">
        <v>146</v>
      </c>
      <c r="F77" t="s">
        <v>44</v>
      </c>
      <c r="G77" t="s">
        <v>146</v>
      </c>
      <c r="H77" t="s">
        <v>1204</v>
      </c>
      <c r="I77" t="s">
        <v>1205</v>
      </c>
      <c r="J77" t="s">
        <v>8</v>
      </c>
      <c r="N77" t="str">
        <f t="shared" si="1"/>
        <v>TP</v>
      </c>
    </row>
    <row r="78" spans="1:15" ht="19" x14ac:dyDescent="0.2">
      <c r="A78">
        <v>1468573</v>
      </c>
      <c r="B78">
        <v>1</v>
      </c>
      <c r="C78" t="s">
        <v>1209</v>
      </c>
      <c r="D78" t="s">
        <v>1210</v>
      </c>
      <c r="E78" t="s">
        <v>167</v>
      </c>
      <c r="F78" t="s">
        <v>99</v>
      </c>
      <c r="G78" t="s">
        <v>146</v>
      </c>
      <c r="M78" s="17" t="s">
        <v>1788</v>
      </c>
      <c r="N78" t="str">
        <f t="shared" si="1"/>
        <v>FP</v>
      </c>
      <c r="O78" t="s">
        <v>1991</v>
      </c>
    </row>
    <row r="79" spans="1:15" x14ac:dyDescent="0.2">
      <c r="A79">
        <v>1482348</v>
      </c>
      <c r="B79">
        <v>0</v>
      </c>
      <c r="C79" t="s">
        <v>1211</v>
      </c>
      <c r="D79" t="s">
        <v>1212</v>
      </c>
      <c r="F79" t="s">
        <v>38</v>
      </c>
      <c r="N79" t="str">
        <f t="shared" si="1"/>
        <v/>
      </c>
    </row>
    <row r="80" spans="1:15" x14ac:dyDescent="0.2">
      <c r="A80">
        <v>1482348</v>
      </c>
      <c r="B80">
        <v>1</v>
      </c>
      <c r="C80" t="s">
        <v>1213</v>
      </c>
      <c r="D80" t="s">
        <v>1212</v>
      </c>
      <c r="F80" t="s">
        <v>38</v>
      </c>
      <c r="N80" t="str">
        <f t="shared" si="1"/>
        <v/>
      </c>
    </row>
    <row r="81" spans="1:14" x14ac:dyDescent="0.2">
      <c r="A81">
        <v>1482348</v>
      </c>
      <c r="B81">
        <v>2</v>
      </c>
      <c r="C81" t="s">
        <v>1214</v>
      </c>
      <c r="D81" t="s">
        <v>718</v>
      </c>
      <c r="F81" t="s">
        <v>61</v>
      </c>
      <c r="N81" t="str">
        <f t="shared" si="1"/>
        <v/>
      </c>
    </row>
    <row r="82" spans="1:14" x14ac:dyDescent="0.2">
      <c r="A82">
        <v>1482348</v>
      </c>
      <c r="B82">
        <v>2</v>
      </c>
      <c r="C82" t="s">
        <v>1214</v>
      </c>
      <c r="D82" t="s">
        <v>1212</v>
      </c>
      <c r="F82" t="s">
        <v>38</v>
      </c>
      <c r="N82" t="str">
        <f t="shared" si="1"/>
        <v/>
      </c>
    </row>
    <row r="83" spans="1:14" x14ac:dyDescent="0.2">
      <c r="A83">
        <v>1482348</v>
      </c>
      <c r="B83">
        <v>3</v>
      </c>
      <c r="C83" t="s">
        <v>1215</v>
      </c>
      <c r="D83" t="s">
        <v>1212</v>
      </c>
      <c r="F83" t="s">
        <v>38</v>
      </c>
      <c r="N83" t="str">
        <f t="shared" si="1"/>
        <v/>
      </c>
    </row>
    <row r="84" spans="1:14" x14ac:dyDescent="0.2">
      <c r="A84">
        <v>1482348</v>
      </c>
      <c r="B84">
        <v>4</v>
      </c>
      <c r="C84" t="s">
        <v>1216</v>
      </c>
      <c r="D84" t="s">
        <v>197</v>
      </c>
      <c r="F84" t="s">
        <v>38</v>
      </c>
      <c r="N84" t="str">
        <f t="shared" si="1"/>
        <v/>
      </c>
    </row>
    <row r="85" spans="1:14" x14ac:dyDescent="0.2">
      <c r="A85">
        <v>1482348</v>
      </c>
      <c r="B85">
        <v>5</v>
      </c>
      <c r="C85" t="s">
        <v>1217</v>
      </c>
      <c r="D85" t="s">
        <v>1212</v>
      </c>
      <c r="F85" t="s">
        <v>38</v>
      </c>
      <c r="N85" t="str">
        <f t="shared" si="1"/>
        <v/>
      </c>
    </row>
    <row r="86" spans="1:14" x14ac:dyDescent="0.2">
      <c r="A86">
        <v>1577715</v>
      </c>
      <c r="B86">
        <v>0</v>
      </c>
      <c r="C86" t="s">
        <v>1218</v>
      </c>
      <c r="D86" t="s">
        <v>1219</v>
      </c>
      <c r="F86" t="s">
        <v>38</v>
      </c>
      <c r="N86" t="str">
        <f t="shared" si="1"/>
        <v/>
      </c>
    </row>
    <row r="87" spans="1:14" x14ac:dyDescent="0.2">
      <c r="A87">
        <v>1577715</v>
      </c>
      <c r="B87">
        <v>1</v>
      </c>
      <c r="C87" t="s">
        <v>1220</v>
      </c>
      <c r="D87" t="s">
        <v>1221</v>
      </c>
      <c r="E87" t="s">
        <v>146</v>
      </c>
      <c r="F87" t="s">
        <v>44</v>
      </c>
      <c r="G87" t="s">
        <v>146</v>
      </c>
      <c r="J87" t="s">
        <v>10</v>
      </c>
      <c r="K87" t="s">
        <v>159</v>
      </c>
      <c r="N87" t="str">
        <f t="shared" si="1"/>
        <v>TP</v>
      </c>
    </row>
    <row r="88" spans="1:14" x14ac:dyDescent="0.2">
      <c r="A88">
        <v>1577715</v>
      </c>
      <c r="B88">
        <v>1</v>
      </c>
      <c r="C88" t="s">
        <v>1220</v>
      </c>
      <c r="D88" t="s">
        <v>1222</v>
      </c>
      <c r="E88" t="s">
        <v>146</v>
      </c>
      <c r="F88" t="s">
        <v>44</v>
      </c>
      <c r="G88" t="s">
        <v>146</v>
      </c>
      <c r="J88" t="s">
        <v>10</v>
      </c>
      <c r="K88" t="s">
        <v>159</v>
      </c>
      <c r="N88" t="str">
        <f t="shared" si="1"/>
        <v>TP</v>
      </c>
    </row>
    <row r="89" spans="1:14" x14ac:dyDescent="0.2">
      <c r="A89">
        <v>1577715</v>
      </c>
      <c r="B89">
        <v>1</v>
      </c>
      <c r="C89" t="s">
        <v>1220</v>
      </c>
      <c r="D89" t="s">
        <v>1223</v>
      </c>
      <c r="E89" t="s">
        <v>146</v>
      </c>
      <c r="F89" t="s">
        <v>44</v>
      </c>
      <c r="G89" t="s">
        <v>146</v>
      </c>
      <c r="J89" t="s">
        <v>10</v>
      </c>
      <c r="K89" t="s">
        <v>159</v>
      </c>
      <c r="N89" t="str">
        <f t="shared" si="1"/>
        <v>TP</v>
      </c>
    </row>
    <row r="90" spans="1:14" x14ac:dyDescent="0.2">
      <c r="A90">
        <v>1577715</v>
      </c>
      <c r="B90">
        <v>2</v>
      </c>
      <c r="C90" t="s">
        <v>1224</v>
      </c>
      <c r="D90" t="s">
        <v>1219</v>
      </c>
      <c r="F90" t="s">
        <v>38</v>
      </c>
      <c r="N90" t="str">
        <f t="shared" si="1"/>
        <v/>
      </c>
    </row>
    <row r="91" spans="1:14" x14ac:dyDescent="0.2">
      <c r="A91">
        <v>1577715</v>
      </c>
      <c r="B91">
        <v>3</v>
      </c>
      <c r="C91" t="s">
        <v>1225</v>
      </c>
      <c r="N91" t="str">
        <f t="shared" si="1"/>
        <v/>
      </c>
    </row>
    <row r="92" spans="1:14" x14ac:dyDescent="0.2">
      <c r="A92">
        <v>1577715</v>
      </c>
      <c r="B92">
        <v>4</v>
      </c>
      <c r="C92" t="s">
        <v>1226</v>
      </c>
      <c r="N92" t="str">
        <f t="shared" si="1"/>
        <v/>
      </c>
    </row>
    <row r="93" spans="1:14" x14ac:dyDescent="0.2">
      <c r="A93">
        <v>1577715</v>
      </c>
      <c r="B93">
        <v>5</v>
      </c>
      <c r="C93" t="s">
        <v>1227</v>
      </c>
      <c r="D93" t="s">
        <v>720</v>
      </c>
      <c r="F93" t="s">
        <v>38</v>
      </c>
      <c r="N93" t="str">
        <f t="shared" si="1"/>
        <v/>
      </c>
    </row>
    <row r="94" spans="1:14" x14ac:dyDescent="0.2">
      <c r="A94">
        <v>1577715</v>
      </c>
      <c r="B94">
        <v>6</v>
      </c>
      <c r="C94" t="s">
        <v>1228</v>
      </c>
      <c r="D94" t="s">
        <v>1219</v>
      </c>
      <c r="F94" t="s">
        <v>38</v>
      </c>
      <c r="N94" t="str">
        <f t="shared" si="1"/>
        <v/>
      </c>
    </row>
    <row r="95" spans="1:14" x14ac:dyDescent="0.2">
      <c r="A95">
        <v>1577715</v>
      </c>
      <c r="B95">
        <v>6</v>
      </c>
      <c r="C95" t="s">
        <v>1228</v>
      </c>
      <c r="D95" t="s">
        <v>1221</v>
      </c>
      <c r="E95" t="s">
        <v>146</v>
      </c>
      <c r="F95" t="s">
        <v>44</v>
      </c>
      <c r="G95" t="s">
        <v>146</v>
      </c>
      <c r="J95" t="s">
        <v>10</v>
      </c>
      <c r="K95" t="s">
        <v>159</v>
      </c>
      <c r="N95" t="str">
        <f t="shared" si="1"/>
        <v>TP</v>
      </c>
    </row>
    <row r="96" spans="1:14" x14ac:dyDescent="0.2">
      <c r="A96">
        <v>1577715</v>
      </c>
      <c r="B96">
        <v>6</v>
      </c>
      <c r="C96" t="s">
        <v>1228</v>
      </c>
      <c r="D96" t="s">
        <v>1222</v>
      </c>
      <c r="E96" t="s">
        <v>146</v>
      </c>
      <c r="F96" t="s">
        <v>44</v>
      </c>
      <c r="G96" t="s">
        <v>146</v>
      </c>
      <c r="J96" t="s">
        <v>10</v>
      </c>
      <c r="K96" t="s">
        <v>159</v>
      </c>
      <c r="N96" t="str">
        <f t="shared" si="1"/>
        <v>TP</v>
      </c>
    </row>
    <row r="97" spans="1:14" x14ac:dyDescent="0.2">
      <c r="A97">
        <v>1577715</v>
      </c>
      <c r="B97">
        <v>6</v>
      </c>
      <c r="C97" t="s">
        <v>1228</v>
      </c>
      <c r="D97" t="s">
        <v>1223</v>
      </c>
      <c r="E97" t="s">
        <v>146</v>
      </c>
      <c r="F97" t="s">
        <v>44</v>
      </c>
      <c r="G97" t="s">
        <v>146</v>
      </c>
      <c r="J97" t="s">
        <v>10</v>
      </c>
      <c r="K97" t="s">
        <v>159</v>
      </c>
      <c r="N97" t="str">
        <f t="shared" si="1"/>
        <v>TP</v>
      </c>
    </row>
    <row r="98" spans="1:14" x14ac:dyDescent="0.2">
      <c r="A98">
        <v>1577715</v>
      </c>
      <c r="B98">
        <v>7</v>
      </c>
      <c r="C98" t="s">
        <v>1229</v>
      </c>
      <c r="D98" t="s">
        <v>558</v>
      </c>
      <c r="F98" t="s">
        <v>38</v>
      </c>
      <c r="N98" t="str">
        <f t="shared" si="1"/>
        <v/>
      </c>
    </row>
    <row r="99" spans="1:14" x14ac:dyDescent="0.2">
      <c r="A99">
        <v>1577715</v>
      </c>
      <c r="B99">
        <v>7</v>
      </c>
      <c r="C99" t="s">
        <v>1229</v>
      </c>
      <c r="D99" t="s">
        <v>1230</v>
      </c>
      <c r="E99" t="s">
        <v>146</v>
      </c>
      <c r="F99" t="s">
        <v>44</v>
      </c>
      <c r="G99" t="s">
        <v>146</v>
      </c>
      <c r="J99" t="s">
        <v>10</v>
      </c>
      <c r="N99" t="str">
        <f t="shared" si="1"/>
        <v>TP</v>
      </c>
    </row>
    <row r="100" spans="1:14" x14ac:dyDescent="0.2">
      <c r="A100">
        <v>1577715</v>
      </c>
      <c r="B100">
        <v>7</v>
      </c>
      <c r="C100" t="s">
        <v>1229</v>
      </c>
      <c r="D100" t="s">
        <v>1231</v>
      </c>
      <c r="E100" t="s">
        <v>146</v>
      </c>
      <c r="F100" t="s">
        <v>99</v>
      </c>
      <c r="G100" t="s">
        <v>167</v>
      </c>
      <c r="N100" t="str">
        <f t="shared" si="1"/>
        <v>FP</v>
      </c>
    </row>
    <row r="101" spans="1:14" x14ac:dyDescent="0.2">
      <c r="A101">
        <v>1577715</v>
      </c>
      <c r="B101">
        <v>7</v>
      </c>
      <c r="C101" t="s">
        <v>1229</v>
      </c>
      <c r="D101" t="s">
        <v>1232</v>
      </c>
      <c r="E101" t="s">
        <v>146</v>
      </c>
      <c r="F101" t="s">
        <v>44</v>
      </c>
      <c r="G101" t="s">
        <v>146</v>
      </c>
      <c r="J101" t="s">
        <v>10</v>
      </c>
      <c r="K101" t="s">
        <v>159</v>
      </c>
      <c r="M101" t="s">
        <v>1789</v>
      </c>
      <c r="N101" t="str">
        <f t="shared" si="1"/>
        <v>TP</v>
      </c>
    </row>
    <row r="102" spans="1:14" x14ac:dyDescent="0.2">
      <c r="A102">
        <v>1577715</v>
      </c>
      <c r="B102">
        <v>7</v>
      </c>
      <c r="C102" t="s">
        <v>1229</v>
      </c>
      <c r="D102" t="s">
        <v>1233</v>
      </c>
      <c r="E102" t="s">
        <v>146</v>
      </c>
      <c r="F102" t="s">
        <v>44</v>
      </c>
      <c r="G102" t="s">
        <v>146</v>
      </c>
      <c r="J102" t="s">
        <v>10</v>
      </c>
      <c r="K102" t="s">
        <v>159</v>
      </c>
      <c r="N102" t="str">
        <f t="shared" si="1"/>
        <v>TP</v>
      </c>
    </row>
    <row r="103" spans="1:14" x14ac:dyDescent="0.2">
      <c r="A103">
        <v>1577715</v>
      </c>
      <c r="B103">
        <v>7</v>
      </c>
      <c r="C103" t="s">
        <v>1229</v>
      </c>
      <c r="D103" t="s">
        <v>1234</v>
      </c>
      <c r="E103" t="s">
        <v>146</v>
      </c>
      <c r="F103" t="s">
        <v>44</v>
      </c>
      <c r="G103" t="s">
        <v>146</v>
      </c>
      <c r="H103" t="s">
        <v>1235</v>
      </c>
      <c r="I103" t="s">
        <v>1236</v>
      </c>
      <c r="J103" t="s">
        <v>8</v>
      </c>
      <c r="K103" t="s">
        <v>159</v>
      </c>
      <c r="N103" t="str">
        <f t="shared" si="1"/>
        <v>TP</v>
      </c>
    </row>
    <row r="104" spans="1:14" x14ac:dyDescent="0.2">
      <c r="A104">
        <v>1577715</v>
      </c>
      <c r="B104">
        <v>8</v>
      </c>
      <c r="C104" t="s">
        <v>1237</v>
      </c>
      <c r="D104" t="s">
        <v>1238</v>
      </c>
      <c r="E104" t="s">
        <v>146</v>
      </c>
      <c r="F104" t="s">
        <v>44</v>
      </c>
      <c r="G104" t="s">
        <v>146</v>
      </c>
      <c r="J104" t="s">
        <v>10</v>
      </c>
      <c r="N104" t="str">
        <f t="shared" si="1"/>
        <v>TP</v>
      </c>
    </row>
    <row r="105" spans="1:14" x14ac:dyDescent="0.2">
      <c r="A105">
        <v>1577715</v>
      </c>
      <c r="B105">
        <v>8</v>
      </c>
      <c r="C105" t="s">
        <v>1237</v>
      </c>
      <c r="D105" t="s">
        <v>1221</v>
      </c>
      <c r="E105" t="s">
        <v>146</v>
      </c>
      <c r="F105" t="s">
        <v>44</v>
      </c>
      <c r="G105" t="s">
        <v>146</v>
      </c>
      <c r="J105" t="s">
        <v>10</v>
      </c>
      <c r="K105" t="s">
        <v>159</v>
      </c>
      <c r="N105" t="str">
        <f t="shared" si="1"/>
        <v>TP</v>
      </c>
    </row>
    <row r="106" spans="1:14" x14ac:dyDescent="0.2">
      <c r="A106">
        <v>1577715</v>
      </c>
      <c r="B106">
        <v>8</v>
      </c>
      <c r="C106" t="s">
        <v>1237</v>
      </c>
      <c r="D106" t="s">
        <v>1222</v>
      </c>
      <c r="E106" t="s">
        <v>146</v>
      </c>
      <c r="F106" t="s">
        <v>44</v>
      </c>
      <c r="G106" t="s">
        <v>146</v>
      </c>
      <c r="J106" t="s">
        <v>10</v>
      </c>
      <c r="K106" t="s">
        <v>159</v>
      </c>
      <c r="N106" t="str">
        <f t="shared" si="1"/>
        <v>TP</v>
      </c>
    </row>
    <row r="107" spans="1:14" x14ac:dyDescent="0.2">
      <c r="A107">
        <v>1577715</v>
      </c>
      <c r="B107">
        <v>8</v>
      </c>
      <c r="C107" t="s">
        <v>1237</v>
      </c>
      <c r="D107" t="s">
        <v>1239</v>
      </c>
      <c r="E107" t="s">
        <v>146</v>
      </c>
      <c r="F107" t="s">
        <v>44</v>
      </c>
      <c r="G107" t="s">
        <v>146</v>
      </c>
      <c r="H107" t="s">
        <v>1240</v>
      </c>
      <c r="I107" t="s">
        <v>1241</v>
      </c>
      <c r="J107" t="s">
        <v>8</v>
      </c>
      <c r="N107" t="str">
        <f t="shared" si="1"/>
        <v>TP</v>
      </c>
    </row>
    <row r="108" spans="1:14" x14ac:dyDescent="0.2">
      <c r="A108">
        <v>1577715</v>
      </c>
      <c r="B108">
        <v>8</v>
      </c>
      <c r="C108" t="s">
        <v>1237</v>
      </c>
      <c r="D108" t="s">
        <v>1223</v>
      </c>
      <c r="E108" t="s">
        <v>146</v>
      </c>
      <c r="F108" t="s">
        <v>44</v>
      </c>
      <c r="G108" t="s">
        <v>146</v>
      </c>
      <c r="J108" t="s">
        <v>10</v>
      </c>
      <c r="K108" t="s">
        <v>159</v>
      </c>
      <c r="N108" t="str">
        <f t="shared" si="1"/>
        <v>TP</v>
      </c>
    </row>
    <row r="109" spans="1:14" x14ac:dyDescent="0.2">
      <c r="A109">
        <v>1577715</v>
      </c>
      <c r="B109">
        <v>9</v>
      </c>
      <c r="C109" t="s">
        <v>1242</v>
      </c>
      <c r="D109" t="s">
        <v>1243</v>
      </c>
      <c r="E109" t="s">
        <v>146</v>
      </c>
      <c r="F109" t="s">
        <v>44</v>
      </c>
      <c r="G109" t="s">
        <v>146</v>
      </c>
      <c r="H109" t="s">
        <v>1235</v>
      </c>
      <c r="I109" t="s">
        <v>1236</v>
      </c>
      <c r="J109" t="s">
        <v>8</v>
      </c>
      <c r="N109" t="str">
        <f t="shared" si="1"/>
        <v>TP</v>
      </c>
    </row>
    <row r="110" spans="1:14" x14ac:dyDescent="0.2">
      <c r="A110">
        <v>1577715</v>
      </c>
      <c r="B110">
        <v>9</v>
      </c>
      <c r="C110" t="s">
        <v>1242</v>
      </c>
      <c r="D110" t="s">
        <v>1244</v>
      </c>
      <c r="E110" t="s">
        <v>146</v>
      </c>
      <c r="F110" t="s">
        <v>44</v>
      </c>
      <c r="G110" t="s">
        <v>146</v>
      </c>
      <c r="J110" t="s">
        <v>10</v>
      </c>
      <c r="N110" t="str">
        <f t="shared" si="1"/>
        <v>TP</v>
      </c>
    </row>
    <row r="111" spans="1:14" x14ac:dyDescent="0.2">
      <c r="A111">
        <v>1577715</v>
      </c>
      <c r="B111">
        <v>9</v>
      </c>
      <c r="C111" t="s">
        <v>1242</v>
      </c>
      <c r="D111" t="s">
        <v>1245</v>
      </c>
      <c r="E111" t="s">
        <v>146</v>
      </c>
      <c r="F111" t="s">
        <v>44</v>
      </c>
      <c r="G111" t="s">
        <v>146</v>
      </c>
      <c r="J111" t="s">
        <v>169</v>
      </c>
      <c r="N111" t="str">
        <f t="shared" si="1"/>
        <v>TP</v>
      </c>
    </row>
    <row r="112" spans="1:14" x14ac:dyDescent="0.2">
      <c r="A112">
        <v>1577715</v>
      </c>
      <c r="B112">
        <v>10</v>
      </c>
      <c r="C112" t="s">
        <v>1246</v>
      </c>
      <c r="D112" t="s">
        <v>1138</v>
      </c>
      <c r="F112" t="s">
        <v>44</v>
      </c>
      <c r="J112" t="s">
        <v>10</v>
      </c>
      <c r="N112" t="str">
        <f t="shared" si="1"/>
        <v/>
      </c>
    </row>
    <row r="113" spans="1:14" x14ac:dyDescent="0.2">
      <c r="A113">
        <v>1577715</v>
      </c>
      <c r="B113">
        <v>10</v>
      </c>
      <c r="C113" t="s">
        <v>1246</v>
      </c>
      <c r="D113" t="s">
        <v>1221</v>
      </c>
      <c r="E113" t="s">
        <v>146</v>
      </c>
      <c r="F113" t="s">
        <v>44</v>
      </c>
      <c r="G113" t="s">
        <v>146</v>
      </c>
      <c r="J113" t="s">
        <v>10</v>
      </c>
      <c r="K113" t="s">
        <v>159</v>
      </c>
      <c r="N113" t="str">
        <f t="shared" si="1"/>
        <v>TP</v>
      </c>
    </row>
    <row r="114" spans="1:14" x14ac:dyDescent="0.2">
      <c r="A114">
        <v>1577715</v>
      </c>
      <c r="B114">
        <v>10</v>
      </c>
      <c r="C114" t="s">
        <v>1246</v>
      </c>
      <c r="D114" t="s">
        <v>1222</v>
      </c>
      <c r="E114" t="s">
        <v>146</v>
      </c>
      <c r="F114" t="s">
        <v>44</v>
      </c>
      <c r="G114" t="s">
        <v>146</v>
      </c>
      <c r="J114" t="s">
        <v>10</v>
      </c>
      <c r="K114" t="s">
        <v>159</v>
      </c>
      <c r="N114" t="str">
        <f t="shared" si="1"/>
        <v>TP</v>
      </c>
    </row>
    <row r="115" spans="1:14" x14ac:dyDescent="0.2">
      <c r="A115">
        <v>1694115</v>
      </c>
      <c r="B115">
        <v>0</v>
      </c>
      <c r="C115" t="s">
        <v>1247</v>
      </c>
      <c r="J115" t="s">
        <v>169</v>
      </c>
      <c r="N115" t="str">
        <f t="shared" si="1"/>
        <v/>
      </c>
    </row>
    <row r="116" spans="1:14" x14ac:dyDescent="0.2">
      <c r="A116">
        <v>1694115</v>
      </c>
      <c r="B116">
        <v>1</v>
      </c>
      <c r="C116" t="s">
        <v>1248</v>
      </c>
      <c r="J116" t="s">
        <v>169</v>
      </c>
      <c r="N116" t="str">
        <f t="shared" si="1"/>
        <v/>
      </c>
    </row>
    <row r="117" spans="1:14" x14ac:dyDescent="0.2">
      <c r="A117">
        <v>1694115</v>
      </c>
      <c r="B117">
        <v>2</v>
      </c>
      <c r="C117" t="s">
        <v>1249</v>
      </c>
      <c r="J117" t="s">
        <v>169</v>
      </c>
      <c r="N117" t="str">
        <f t="shared" si="1"/>
        <v/>
      </c>
    </row>
    <row r="118" spans="1:14" x14ac:dyDescent="0.2">
      <c r="A118">
        <v>1694115</v>
      </c>
      <c r="B118">
        <v>3</v>
      </c>
      <c r="C118" t="s">
        <v>1250</v>
      </c>
      <c r="J118" t="s">
        <v>169</v>
      </c>
      <c r="N118" t="str">
        <f t="shared" si="1"/>
        <v/>
      </c>
    </row>
    <row r="119" spans="1:14" x14ac:dyDescent="0.2">
      <c r="A119">
        <v>1694115</v>
      </c>
      <c r="B119">
        <v>4</v>
      </c>
      <c r="C119" t="s">
        <v>1251</v>
      </c>
      <c r="J119" t="s">
        <v>169</v>
      </c>
      <c r="N119" t="str">
        <f t="shared" si="1"/>
        <v/>
      </c>
    </row>
    <row r="120" spans="1:14" x14ac:dyDescent="0.2">
      <c r="A120">
        <v>1694115</v>
      </c>
      <c r="B120">
        <v>5</v>
      </c>
      <c r="C120" t="s">
        <v>1252</v>
      </c>
      <c r="J120" t="s">
        <v>169</v>
      </c>
      <c r="N120" t="str">
        <f t="shared" si="1"/>
        <v/>
      </c>
    </row>
    <row r="121" spans="1:14" x14ac:dyDescent="0.2">
      <c r="A121">
        <v>1694115</v>
      </c>
      <c r="B121">
        <v>6</v>
      </c>
      <c r="C121" t="s">
        <v>1253</v>
      </c>
      <c r="J121" t="s">
        <v>169</v>
      </c>
      <c r="N121" t="str">
        <f t="shared" si="1"/>
        <v/>
      </c>
    </row>
    <row r="122" spans="1:14" x14ac:dyDescent="0.2">
      <c r="A122">
        <v>1694115</v>
      </c>
      <c r="B122">
        <v>7</v>
      </c>
      <c r="C122" t="s">
        <v>1254</v>
      </c>
      <c r="D122" t="s">
        <v>1255</v>
      </c>
      <c r="E122" t="s">
        <v>146</v>
      </c>
      <c r="F122" t="s">
        <v>44</v>
      </c>
      <c r="G122" t="s">
        <v>146</v>
      </c>
      <c r="J122" t="s">
        <v>10</v>
      </c>
      <c r="N122" t="str">
        <f t="shared" si="1"/>
        <v>TP</v>
      </c>
    </row>
    <row r="123" spans="1:14" x14ac:dyDescent="0.2">
      <c r="A123">
        <v>1694115</v>
      </c>
      <c r="B123">
        <v>7</v>
      </c>
      <c r="C123" t="s">
        <v>1254</v>
      </c>
      <c r="D123" t="s">
        <v>1256</v>
      </c>
      <c r="E123" t="s">
        <v>146</v>
      </c>
      <c r="F123" t="s">
        <v>44</v>
      </c>
      <c r="G123" t="s">
        <v>146</v>
      </c>
      <c r="J123" t="s">
        <v>10</v>
      </c>
      <c r="N123" t="str">
        <f t="shared" si="1"/>
        <v>TP</v>
      </c>
    </row>
    <row r="124" spans="1:14" x14ac:dyDescent="0.2">
      <c r="A124">
        <v>1820200</v>
      </c>
      <c r="B124">
        <v>0</v>
      </c>
      <c r="C124" t="s">
        <v>1257</v>
      </c>
      <c r="J124" t="s">
        <v>169</v>
      </c>
      <c r="N124" t="str">
        <f t="shared" si="1"/>
        <v/>
      </c>
    </row>
    <row r="125" spans="1:14" x14ac:dyDescent="0.2">
      <c r="A125">
        <v>1820200</v>
      </c>
      <c r="B125">
        <v>1</v>
      </c>
      <c r="C125" t="s">
        <v>1258</v>
      </c>
      <c r="N125" t="str">
        <f t="shared" si="1"/>
        <v/>
      </c>
    </row>
    <row r="126" spans="1:14" x14ac:dyDescent="0.2">
      <c r="A126">
        <v>1820200</v>
      </c>
      <c r="B126">
        <v>2</v>
      </c>
      <c r="C126" t="s">
        <v>1259</v>
      </c>
      <c r="J126" t="s">
        <v>169</v>
      </c>
      <c r="N126" t="str">
        <f t="shared" si="1"/>
        <v/>
      </c>
    </row>
    <row r="127" spans="1:14" x14ac:dyDescent="0.2">
      <c r="A127">
        <v>1820200</v>
      </c>
      <c r="B127">
        <v>3</v>
      </c>
      <c r="C127" t="s">
        <v>1260</v>
      </c>
      <c r="D127" t="s">
        <v>558</v>
      </c>
      <c r="F127" t="s">
        <v>38</v>
      </c>
      <c r="N127" t="str">
        <f t="shared" si="1"/>
        <v/>
      </c>
    </row>
    <row r="128" spans="1:14" x14ac:dyDescent="0.2">
      <c r="A128">
        <v>1820200</v>
      </c>
      <c r="B128">
        <v>3</v>
      </c>
      <c r="C128" t="s">
        <v>1260</v>
      </c>
      <c r="D128" t="s">
        <v>1261</v>
      </c>
      <c r="E128" t="s">
        <v>1790</v>
      </c>
      <c r="F128" t="s">
        <v>99</v>
      </c>
      <c r="G128" t="s">
        <v>1790</v>
      </c>
      <c r="N128" t="str">
        <f t="shared" si="1"/>
        <v/>
      </c>
    </row>
    <row r="129" spans="1:14" x14ac:dyDescent="0.2">
      <c r="A129">
        <v>1820200</v>
      </c>
      <c r="B129">
        <v>3</v>
      </c>
      <c r="C129" t="s">
        <v>1260</v>
      </c>
      <c r="D129" t="s">
        <v>1262</v>
      </c>
      <c r="E129" t="s">
        <v>1790</v>
      </c>
      <c r="F129" t="s">
        <v>99</v>
      </c>
      <c r="G129" t="s">
        <v>1790</v>
      </c>
      <c r="N129" t="str">
        <f t="shared" si="1"/>
        <v/>
      </c>
    </row>
    <row r="130" spans="1:14" x14ac:dyDescent="0.2">
      <c r="A130">
        <v>1820200</v>
      </c>
      <c r="B130">
        <v>4</v>
      </c>
      <c r="C130" t="s">
        <v>1263</v>
      </c>
      <c r="D130" t="s">
        <v>720</v>
      </c>
      <c r="F130" t="s">
        <v>38</v>
      </c>
      <c r="N130" t="str">
        <f t="shared" si="1"/>
        <v/>
      </c>
    </row>
    <row r="131" spans="1:14" x14ac:dyDescent="0.2">
      <c r="A131">
        <v>1872845</v>
      </c>
      <c r="B131">
        <v>0</v>
      </c>
      <c r="C131" t="s">
        <v>1264</v>
      </c>
      <c r="D131" t="s">
        <v>1265</v>
      </c>
      <c r="F131" t="s">
        <v>38</v>
      </c>
      <c r="N131" t="str">
        <f t="shared" ref="N131:N194" si="2">IF(OR(E131="FP",G131="FP"),"FP",IF(AND(E131="TP",E131="TP"),"TP",""))</f>
        <v/>
      </c>
    </row>
    <row r="132" spans="1:14" x14ac:dyDescent="0.2">
      <c r="A132">
        <v>1872845</v>
      </c>
      <c r="B132">
        <v>1</v>
      </c>
      <c r="C132" t="s">
        <v>1266</v>
      </c>
      <c r="J132" t="s">
        <v>169</v>
      </c>
      <c r="N132" t="str">
        <f t="shared" si="2"/>
        <v/>
      </c>
    </row>
    <row r="133" spans="1:14" x14ac:dyDescent="0.2">
      <c r="A133">
        <v>1872845</v>
      </c>
      <c r="B133">
        <v>2</v>
      </c>
      <c r="C133" t="s">
        <v>1267</v>
      </c>
      <c r="J133" t="s">
        <v>169</v>
      </c>
      <c r="N133" t="str">
        <f t="shared" si="2"/>
        <v/>
      </c>
    </row>
    <row r="134" spans="1:14" x14ac:dyDescent="0.2">
      <c r="A134">
        <v>1872845</v>
      </c>
      <c r="B134">
        <v>3</v>
      </c>
      <c r="C134" t="s">
        <v>1268</v>
      </c>
      <c r="D134" t="s">
        <v>1269</v>
      </c>
      <c r="F134" t="s">
        <v>38</v>
      </c>
      <c r="N134" t="str">
        <f t="shared" si="2"/>
        <v/>
      </c>
    </row>
    <row r="135" spans="1:14" x14ac:dyDescent="0.2">
      <c r="A135">
        <v>1872845</v>
      </c>
      <c r="B135">
        <v>4</v>
      </c>
      <c r="C135" t="s">
        <v>1270</v>
      </c>
      <c r="J135" t="s">
        <v>169</v>
      </c>
      <c r="N135" t="str">
        <f t="shared" si="2"/>
        <v/>
      </c>
    </row>
    <row r="136" spans="1:14" x14ac:dyDescent="0.2">
      <c r="A136">
        <v>1872845</v>
      </c>
      <c r="B136">
        <v>5</v>
      </c>
      <c r="C136" t="s">
        <v>1271</v>
      </c>
      <c r="D136" t="s">
        <v>1272</v>
      </c>
      <c r="F136" t="s">
        <v>38</v>
      </c>
      <c r="N136" t="str">
        <f t="shared" si="2"/>
        <v/>
      </c>
    </row>
    <row r="137" spans="1:14" x14ac:dyDescent="0.2">
      <c r="A137">
        <v>1898343</v>
      </c>
      <c r="B137">
        <v>0</v>
      </c>
      <c r="C137" t="s">
        <v>1273</v>
      </c>
      <c r="D137" t="s">
        <v>1274</v>
      </c>
      <c r="F137" t="s">
        <v>38</v>
      </c>
      <c r="N137" t="str">
        <f t="shared" si="2"/>
        <v/>
      </c>
    </row>
    <row r="138" spans="1:14" x14ac:dyDescent="0.2">
      <c r="A138">
        <v>1898343</v>
      </c>
      <c r="B138">
        <v>1</v>
      </c>
      <c r="C138" t="s">
        <v>1275</v>
      </c>
      <c r="D138" t="s">
        <v>1276</v>
      </c>
      <c r="F138" t="s">
        <v>38</v>
      </c>
      <c r="N138" t="str">
        <f t="shared" si="2"/>
        <v/>
      </c>
    </row>
    <row r="139" spans="1:14" x14ac:dyDescent="0.2">
      <c r="A139">
        <v>1898343</v>
      </c>
      <c r="B139">
        <v>2</v>
      </c>
      <c r="C139" t="s">
        <v>1277</v>
      </c>
      <c r="J139" t="s">
        <v>169</v>
      </c>
      <c r="N139" t="str">
        <f t="shared" si="2"/>
        <v/>
      </c>
    </row>
    <row r="140" spans="1:14" x14ac:dyDescent="0.2">
      <c r="A140">
        <v>1898343</v>
      </c>
      <c r="B140">
        <v>3</v>
      </c>
      <c r="C140" t="s">
        <v>1278</v>
      </c>
      <c r="D140" t="s">
        <v>880</v>
      </c>
      <c r="F140" t="s">
        <v>38</v>
      </c>
      <c r="N140" t="str">
        <f t="shared" si="2"/>
        <v/>
      </c>
    </row>
    <row r="141" spans="1:14" x14ac:dyDescent="0.2">
      <c r="A141">
        <v>1898343</v>
      </c>
      <c r="B141">
        <v>4</v>
      </c>
      <c r="C141" t="s">
        <v>1279</v>
      </c>
      <c r="D141" t="s">
        <v>1280</v>
      </c>
      <c r="F141" t="s">
        <v>38</v>
      </c>
      <c r="N141" t="str">
        <f t="shared" si="2"/>
        <v/>
      </c>
    </row>
    <row r="142" spans="1:14" x14ac:dyDescent="0.2">
      <c r="A142">
        <v>1898343</v>
      </c>
      <c r="B142">
        <v>4</v>
      </c>
      <c r="C142" t="s">
        <v>1279</v>
      </c>
      <c r="D142" t="s">
        <v>1281</v>
      </c>
      <c r="F142" t="s">
        <v>38</v>
      </c>
      <c r="N142" t="str">
        <f t="shared" si="2"/>
        <v/>
      </c>
    </row>
    <row r="143" spans="1:14" x14ac:dyDescent="0.2">
      <c r="A143">
        <v>1898343</v>
      </c>
      <c r="B143">
        <v>5</v>
      </c>
      <c r="C143" t="s">
        <v>1282</v>
      </c>
      <c r="D143" t="s">
        <v>868</v>
      </c>
      <c r="F143" t="s">
        <v>38</v>
      </c>
      <c r="K143" t="s">
        <v>159</v>
      </c>
      <c r="N143" t="str">
        <f t="shared" si="2"/>
        <v/>
      </c>
    </row>
    <row r="144" spans="1:14" x14ac:dyDescent="0.2">
      <c r="A144">
        <v>1898343</v>
      </c>
      <c r="B144">
        <v>5</v>
      </c>
      <c r="C144" t="s">
        <v>1282</v>
      </c>
      <c r="D144" t="s">
        <v>533</v>
      </c>
      <c r="E144" t="s">
        <v>146</v>
      </c>
      <c r="F144" t="s">
        <v>44</v>
      </c>
      <c r="G144" t="s">
        <v>146</v>
      </c>
      <c r="J144" t="s">
        <v>10</v>
      </c>
      <c r="N144" t="str">
        <f t="shared" si="2"/>
        <v>TP</v>
      </c>
    </row>
    <row r="145" spans="1:14" x14ac:dyDescent="0.2">
      <c r="A145">
        <v>1898343</v>
      </c>
      <c r="B145">
        <v>5</v>
      </c>
      <c r="C145" t="s">
        <v>1282</v>
      </c>
      <c r="D145" t="s">
        <v>1791</v>
      </c>
      <c r="F145" t="s">
        <v>44</v>
      </c>
      <c r="J145" t="s">
        <v>10</v>
      </c>
      <c r="M145" t="s">
        <v>1792</v>
      </c>
      <c r="N145" t="str">
        <f t="shared" si="2"/>
        <v/>
      </c>
    </row>
    <row r="146" spans="1:14" x14ac:dyDescent="0.2">
      <c r="A146">
        <v>1898343</v>
      </c>
      <c r="B146">
        <v>5</v>
      </c>
      <c r="C146" t="s">
        <v>1282</v>
      </c>
      <c r="D146" t="s">
        <v>324</v>
      </c>
      <c r="E146" t="s">
        <v>146</v>
      </c>
      <c r="F146" t="s">
        <v>44</v>
      </c>
      <c r="G146" t="s">
        <v>146</v>
      </c>
      <c r="H146" t="s">
        <v>325</v>
      </c>
      <c r="I146" t="s">
        <v>326</v>
      </c>
      <c r="J146" t="s">
        <v>8</v>
      </c>
      <c r="M146" t="s">
        <v>362</v>
      </c>
      <c r="N146" t="str">
        <f t="shared" si="2"/>
        <v>TP</v>
      </c>
    </row>
    <row r="147" spans="1:14" x14ac:dyDescent="0.2">
      <c r="A147">
        <v>1898343</v>
      </c>
      <c r="B147">
        <v>5</v>
      </c>
      <c r="C147" t="s">
        <v>1282</v>
      </c>
      <c r="D147" t="s">
        <v>1283</v>
      </c>
      <c r="E147" t="s">
        <v>146</v>
      </c>
      <c r="F147" t="s">
        <v>44</v>
      </c>
      <c r="G147" t="s">
        <v>146</v>
      </c>
      <c r="J147" t="s">
        <v>10</v>
      </c>
      <c r="N147" t="str">
        <f t="shared" si="2"/>
        <v>TP</v>
      </c>
    </row>
    <row r="148" spans="1:14" x14ac:dyDescent="0.2">
      <c r="A148">
        <v>1898343</v>
      </c>
      <c r="B148">
        <v>5</v>
      </c>
      <c r="C148" t="s">
        <v>1282</v>
      </c>
      <c r="D148" t="s">
        <v>1284</v>
      </c>
      <c r="E148" t="s">
        <v>146</v>
      </c>
      <c r="F148" t="s">
        <v>99</v>
      </c>
      <c r="G148" t="s">
        <v>146</v>
      </c>
      <c r="N148" t="str">
        <f t="shared" si="2"/>
        <v>TP</v>
      </c>
    </row>
    <row r="149" spans="1:14" x14ac:dyDescent="0.2">
      <c r="A149">
        <v>1898343</v>
      </c>
      <c r="B149">
        <v>5</v>
      </c>
      <c r="C149" t="s">
        <v>1282</v>
      </c>
      <c r="D149" t="s">
        <v>1285</v>
      </c>
      <c r="E149" t="s">
        <v>146</v>
      </c>
      <c r="F149" t="s">
        <v>44</v>
      </c>
      <c r="G149" t="s">
        <v>146</v>
      </c>
      <c r="H149" t="s">
        <v>1204</v>
      </c>
      <c r="I149" t="s">
        <v>1205</v>
      </c>
      <c r="J149" t="s">
        <v>8</v>
      </c>
      <c r="K149" t="s">
        <v>159</v>
      </c>
      <c r="N149" t="str">
        <f t="shared" si="2"/>
        <v>TP</v>
      </c>
    </row>
    <row r="150" spans="1:14" x14ac:dyDescent="0.2">
      <c r="A150">
        <v>1898343</v>
      </c>
      <c r="B150">
        <v>5</v>
      </c>
      <c r="C150" t="s">
        <v>1282</v>
      </c>
      <c r="D150" t="s">
        <v>1286</v>
      </c>
      <c r="E150" t="s">
        <v>146</v>
      </c>
      <c r="F150" t="s">
        <v>44</v>
      </c>
      <c r="G150" t="s">
        <v>146</v>
      </c>
      <c r="J150" t="s">
        <v>10</v>
      </c>
      <c r="K150" t="s">
        <v>159</v>
      </c>
      <c r="N150" t="str">
        <f t="shared" si="2"/>
        <v>TP</v>
      </c>
    </row>
    <row r="151" spans="1:14" x14ac:dyDescent="0.2">
      <c r="A151">
        <v>1898343</v>
      </c>
      <c r="B151">
        <v>5</v>
      </c>
      <c r="C151" t="s">
        <v>1282</v>
      </c>
      <c r="D151" t="s">
        <v>1793</v>
      </c>
      <c r="E151" t="s">
        <v>167</v>
      </c>
      <c r="F151" t="s">
        <v>44</v>
      </c>
      <c r="G151" t="s">
        <v>146</v>
      </c>
      <c r="J151" t="s">
        <v>10</v>
      </c>
      <c r="K151" t="s">
        <v>159</v>
      </c>
      <c r="M151" t="s">
        <v>1794</v>
      </c>
      <c r="N151" t="str">
        <f t="shared" si="2"/>
        <v>FP</v>
      </c>
    </row>
    <row r="152" spans="1:14" x14ac:dyDescent="0.2">
      <c r="A152">
        <v>1899031</v>
      </c>
      <c r="B152">
        <v>0</v>
      </c>
      <c r="C152" t="s">
        <v>1287</v>
      </c>
      <c r="D152" t="s">
        <v>1288</v>
      </c>
      <c r="F152" t="s">
        <v>38</v>
      </c>
      <c r="N152" t="str">
        <f t="shared" si="2"/>
        <v/>
      </c>
    </row>
    <row r="153" spans="1:14" x14ac:dyDescent="0.2">
      <c r="A153">
        <v>1899031</v>
      </c>
      <c r="B153">
        <v>1</v>
      </c>
      <c r="C153" t="s">
        <v>1289</v>
      </c>
      <c r="D153" t="s">
        <v>720</v>
      </c>
      <c r="F153" t="s">
        <v>38</v>
      </c>
      <c r="N153" t="str">
        <f t="shared" si="2"/>
        <v/>
      </c>
    </row>
    <row r="154" spans="1:14" x14ac:dyDescent="0.2">
      <c r="A154">
        <v>1899031</v>
      </c>
      <c r="B154">
        <v>2</v>
      </c>
      <c r="C154" t="s">
        <v>1290</v>
      </c>
      <c r="D154" t="s">
        <v>197</v>
      </c>
      <c r="F154" t="s">
        <v>38</v>
      </c>
      <c r="N154" t="str">
        <f t="shared" si="2"/>
        <v/>
      </c>
    </row>
    <row r="155" spans="1:14" x14ac:dyDescent="0.2">
      <c r="A155">
        <v>1899031</v>
      </c>
      <c r="B155">
        <v>2</v>
      </c>
      <c r="C155" t="s">
        <v>1290</v>
      </c>
      <c r="D155" t="s">
        <v>558</v>
      </c>
      <c r="F155" t="s">
        <v>38</v>
      </c>
      <c r="N155" t="str">
        <f t="shared" si="2"/>
        <v/>
      </c>
    </row>
    <row r="156" spans="1:14" x14ac:dyDescent="0.2">
      <c r="A156">
        <v>1899031</v>
      </c>
      <c r="B156">
        <v>2</v>
      </c>
      <c r="C156" t="s">
        <v>1290</v>
      </c>
      <c r="D156" t="s">
        <v>1291</v>
      </c>
      <c r="F156" t="s">
        <v>38</v>
      </c>
      <c r="N156" t="str">
        <f t="shared" si="2"/>
        <v/>
      </c>
    </row>
    <row r="157" spans="1:14" x14ac:dyDescent="0.2">
      <c r="A157">
        <v>1899031</v>
      </c>
      <c r="B157">
        <v>2</v>
      </c>
      <c r="C157" t="s">
        <v>1290</v>
      </c>
      <c r="D157" t="s">
        <v>1269</v>
      </c>
      <c r="F157" t="s">
        <v>38</v>
      </c>
      <c r="N157" t="str">
        <f t="shared" si="2"/>
        <v/>
      </c>
    </row>
    <row r="158" spans="1:14" x14ac:dyDescent="0.2">
      <c r="A158">
        <v>1899031</v>
      </c>
      <c r="B158">
        <v>3</v>
      </c>
      <c r="C158" t="s">
        <v>1292</v>
      </c>
      <c r="D158" t="s">
        <v>1293</v>
      </c>
      <c r="E158" t="s">
        <v>146</v>
      </c>
      <c r="F158" t="s">
        <v>44</v>
      </c>
      <c r="G158" t="s">
        <v>146</v>
      </c>
      <c r="H158" t="s">
        <v>1294</v>
      </c>
      <c r="I158" t="s">
        <v>1295</v>
      </c>
      <c r="J158" t="s">
        <v>8</v>
      </c>
      <c r="N158" t="str">
        <f t="shared" si="2"/>
        <v>TP</v>
      </c>
    </row>
    <row r="159" spans="1:14" x14ac:dyDescent="0.2">
      <c r="A159">
        <v>1899031</v>
      </c>
      <c r="B159">
        <v>3</v>
      </c>
      <c r="C159" t="s">
        <v>1292</v>
      </c>
      <c r="D159" t="s">
        <v>1296</v>
      </c>
      <c r="E159" t="s">
        <v>146</v>
      </c>
      <c r="F159" t="s">
        <v>44</v>
      </c>
      <c r="G159" t="s">
        <v>146</v>
      </c>
      <c r="J159" t="s">
        <v>10</v>
      </c>
      <c r="K159" t="s">
        <v>159</v>
      </c>
      <c r="N159" t="str">
        <f t="shared" si="2"/>
        <v>TP</v>
      </c>
    </row>
    <row r="160" spans="1:14" x14ac:dyDescent="0.2">
      <c r="A160">
        <v>1899031</v>
      </c>
      <c r="B160">
        <v>3</v>
      </c>
      <c r="C160" t="s">
        <v>1292</v>
      </c>
      <c r="D160" t="s">
        <v>1795</v>
      </c>
      <c r="E160" t="s">
        <v>146</v>
      </c>
      <c r="F160" t="s">
        <v>44</v>
      </c>
      <c r="G160" t="s">
        <v>146</v>
      </c>
      <c r="J160" t="s">
        <v>10</v>
      </c>
      <c r="K160" t="s">
        <v>159</v>
      </c>
      <c r="N160" t="str">
        <f t="shared" si="2"/>
        <v>TP</v>
      </c>
    </row>
    <row r="161" spans="1:15" x14ac:dyDescent="0.2">
      <c r="A161">
        <v>1899031</v>
      </c>
      <c r="B161">
        <v>3</v>
      </c>
      <c r="C161" t="s">
        <v>1292</v>
      </c>
      <c r="D161" t="s">
        <v>1297</v>
      </c>
      <c r="E161" t="s">
        <v>146</v>
      </c>
      <c r="F161" t="s">
        <v>44</v>
      </c>
      <c r="G161" t="s">
        <v>146</v>
      </c>
      <c r="H161" t="s">
        <v>1235</v>
      </c>
      <c r="I161" t="s">
        <v>1236</v>
      </c>
      <c r="J161" t="s">
        <v>8</v>
      </c>
      <c r="N161" t="str">
        <f t="shared" si="2"/>
        <v>TP</v>
      </c>
    </row>
    <row r="162" spans="1:15" x14ac:dyDescent="0.2">
      <c r="A162">
        <v>1899031</v>
      </c>
      <c r="B162">
        <v>3</v>
      </c>
      <c r="C162" t="s">
        <v>1292</v>
      </c>
      <c r="D162" t="s">
        <v>558</v>
      </c>
      <c r="F162" t="s">
        <v>38</v>
      </c>
      <c r="N162" t="str">
        <f t="shared" si="2"/>
        <v/>
      </c>
    </row>
    <row r="163" spans="1:15" x14ac:dyDescent="0.2">
      <c r="A163">
        <v>1899031</v>
      </c>
      <c r="B163">
        <v>4</v>
      </c>
      <c r="C163" t="s">
        <v>1298</v>
      </c>
      <c r="D163" t="s">
        <v>867</v>
      </c>
      <c r="F163" t="s">
        <v>38</v>
      </c>
      <c r="N163" t="str">
        <f t="shared" si="2"/>
        <v/>
      </c>
    </row>
    <row r="164" spans="1:15" x14ac:dyDescent="0.2">
      <c r="A164">
        <v>1899031</v>
      </c>
      <c r="B164">
        <v>4</v>
      </c>
      <c r="C164" t="s">
        <v>1298</v>
      </c>
      <c r="D164" t="s">
        <v>227</v>
      </c>
      <c r="F164" t="s">
        <v>61</v>
      </c>
      <c r="N164" t="str">
        <f t="shared" si="2"/>
        <v/>
      </c>
    </row>
    <row r="165" spans="1:15" x14ac:dyDescent="0.2">
      <c r="A165">
        <v>1899031</v>
      </c>
      <c r="B165">
        <v>4</v>
      </c>
      <c r="C165" t="s">
        <v>1298</v>
      </c>
      <c r="D165" t="s">
        <v>197</v>
      </c>
      <c r="F165" t="s">
        <v>38</v>
      </c>
      <c r="N165" t="str">
        <f t="shared" si="2"/>
        <v/>
      </c>
    </row>
    <row r="166" spans="1:15" x14ac:dyDescent="0.2">
      <c r="A166">
        <v>1899031</v>
      </c>
      <c r="B166">
        <v>4</v>
      </c>
      <c r="C166" t="s">
        <v>1298</v>
      </c>
      <c r="D166" t="s">
        <v>1299</v>
      </c>
      <c r="F166" t="s">
        <v>38</v>
      </c>
      <c r="N166" t="str">
        <f t="shared" si="2"/>
        <v/>
      </c>
    </row>
    <row r="167" spans="1:15" x14ac:dyDescent="0.2">
      <c r="A167">
        <v>1899031</v>
      </c>
      <c r="B167">
        <v>5</v>
      </c>
      <c r="C167" t="s">
        <v>1300</v>
      </c>
      <c r="D167" t="s">
        <v>1301</v>
      </c>
      <c r="F167" t="s">
        <v>38</v>
      </c>
      <c r="N167" t="str">
        <f t="shared" si="2"/>
        <v/>
      </c>
    </row>
    <row r="168" spans="1:15" x14ac:dyDescent="0.2">
      <c r="A168">
        <v>1899031</v>
      </c>
      <c r="B168">
        <v>5</v>
      </c>
      <c r="C168" t="s">
        <v>1300</v>
      </c>
      <c r="D168" t="s">
        <v>1302</v>
      </c>
      <c r="E168" t="s">
        <v>146</v>
      </c>
      <c r="F168" t="s">
        <v>44</v>
      </c>
      <c r="G168" t="s">
        <v>146</v>
      </c>
      <c r="J168" t="s">
        <v>10</v>
      </c>
      <c r="N168" t="str">
        <f t="shared" si="2"/>
        <v>TP</v>
      </c>
    </row>
    <row r="169" spans="1:15" x14ac:dyDescent="0.2">
      <c r="A169">
        <v>1899031</v>
      </c>
      <c r="B169">
        <v>5</v>
      </c>
      <c r="C169" t="s">
        <v>1300</v>
      </c>
      <c r="D169" t="s">
        <v>601</v>
      </c>
      <c r="F169" t="s">
        <v>38</v>
      </c>
      <c r="N169" t="str">
        <f t="shared" si="2"/>
        <v/>
      </c>
    </row>
    <row r="170" spans="1:15" x14ac:dyDescent="0.2">
      <c r="A170">
        <v>1899031</v>
      </c>
      <c r="B170">
        <v>6</v>
      </c>
      <c r="C170" t="s">
        <v>1303</v>
      </c>
      <c r="D170" t="s">
        <v>1304</v>
      </c>
      <c r="E170" t="s">
        <v>146</v>
      </c>
      <c r="F170" t="s">
        <v>61</v>
      </c>
      <c r="G170" t="s">
        <v>146</v>
      </c>
      <c r="N170" t="str">
        <f t="shared" si="2"/>
        <v>TP</v>
      </c>
    </row>
    <row r="171" spans="1:15" x14ac:dyDescent="0.2">
      <c r="A171">
        <v>1899031</v>
      </c>
      <c r="B171">
        <v>6</v>
      </c>
      <c r="C171" t="s">
        <v>1303</v>
      </c>
      <c r="D171" t="s">
        <v>664</v>
      </c>
      <c r="E171" t="s">
        <v>146</v>
      </c>
      <c r="F171" t="s">
        <v>61</v>
      </c>
      <c r="G171" t="s">
        <v>146</v>
      </c>
      <c r="N171" t="str">
        <f t="shared" si="2"/>
        <v>TP</v>
      </c>
    </row>
    <row r="172" spans="1:15" x14ac:dyDescent="0.2">
      <c r="A172">
        <v>1904059</v>
      </c>
      <c r="B172">
        <v>0</v>
      </c>
      <c r="C172" t="s">
        <v>1305</v>
      </c>
      <c r="J172" t="s">
        <v>169</v>
      </c>
      <c r="N172" t="str">
        <f t="shared" si="2"/>
        <v/>
      </c>
    </row>
    <row r="173" spans="1:15" x14ac:dyDescent="0.2">
      <c r="A173">
        <v>1904059</v>
      </c>
      <c r="B173">
        <v>1</v>
      </c>
      <c r="C173" t="s">
        <v>1306</v>
      </c>
      <c r="J173" t="s">
        <v>169</v>
      </c>
      <c r="N173" t="str">
        <f t="shared" si="2"/>
        <v/>
      </c>
    </row>
    <row r="174" spans="1:15" x14ac:dyDescent="0.2">
      <c r="A174">
        <v>1904059</v>
      </c>
      <c r="B174">
        <v>2</v>
      </c>
      <c r="C174" t="s">
        <v>1307</v>
      </c>
      <c r="J174" t="s">
        <v>169</v>
      </c>
      <c r="N174" t="str">
        <f t="shared" si="2"/>
        <v/>
      </c>
    </row>
    <row r="175" spans="1:15" x14ac:dyDescent="0.2">
      <c r="A175">
        <v>1904059</v>
      </c>
      <c r="B175">
        <v>3</v>
      </c>
      <c r="C175" t="s">
        <v>1308</v>
      </c>
      <c r="D175" t="s">
        <v>682</v>
      </c>
      <c r="F175" t="s">
        <v>38</v>
      </c>
      <c r="N175" t="str">
        <f t="shared" si="2"/>
        <v/>
      </c>
    </row>
    <row r="176" spans="1:15" x14ac:dyDescent="0.2">
      <c r="A176">
        <v>1904059</v>
      </c>
      <c r="B176">
        <v>3</v>
      </c>
      <c r="C176" t="s">
        <v>1308</v>
      </c>
      <c r="D176" t="s">
        <v>1309</v>
      </c>
      <c r="E176" t="s">
        <v>146</v>
      </c>
      <c r="F176" t="s">
        <v>44</v>
      </c>
      <c r="G176" t="s">
        <v>167</v>
      </c>
      <c r="J176" t="s">
        <v>10</v>
      </c>
      <c r="M176" t="s">
        <v>61</v>
      </c>
      <c r="N176" t="str">
        <f t="shared" si="2"/>
        <v>FP</v>
      </c>
      <c r="O176" t="s">
        <v>1978</v>
      </c>
    </row>
    <row r="177" spans="1:15" x14ac:dyDescent="0.2">
      <c r="A177">
        <v>1904059</v>
      </c>
      <c r="B177">
        <v>3</v>
      </c>
      <c r="C177" t="s">
        <v>1308</v>
      </c>
      <c r="D177" t="s">
        <v>1310</v>
      </c>
      <c r="E177" t="s">
        <v>167</v>
      </c>
      <c r="F177" t="s">
        <v>44</v>
      </c>
      <c r="G177" t="s">
        <v>167</v>
      </c>
      <c r="J177" t="s">
        <v>10</v>
      </c>
      <c r="L177" t="s">
        <v>159</v>
      </c>
    </row>
    <row r="178" spans="1:15" x14ac:dyDescent="0.2">
      <c r="A178">
        <v>1904059</v>
      </c>
      <c r="B178">
        <v>3</v>
      </c>
      <c r="C178" t="s">
        <v>1308</v>
      </c>
      <c r="D178" t="s">
        <v>1311</v>
      </c>
      <c r="E178" t="s">
        <v>167</v>
      </c>
      <c r="F178" t="s">
        <v>44</v>
      </c>
      <c r="G178" t="s">
        <v>167</v>
      </c>
      <c r="J178" t="s">
        <v>10</v>
      </c>
      <c r="L178" t="s">
        <v>159</v>
      </c>
      <c r="M178" t="s">
        <v>1804</v>
      </c>
      <c r="N178" t="str">
        <f t="shared" si="2"/>
        <v>FP</v>
      </c>
      <c r="O178" t="s">
        <v>1979</v>
      </c>
    </row>
    <row r="179" spans="1:15" x14ac:dyDescent="0.2">
      <c r="A179">
        <v>1904059</v>
      </c>
      <c r="B179">
        <v>4</v>
      </c>
      <c r="C179" t="s">
        <v>354</v>
      </c>
      <c r="J179" t="s">
        <v>169</v>
      </c>
      <c r="N179" t="str">
        <f t="shared" si="2"/>
        <v/>
      </c>
    </row>
    <row r="180" spans="1:15" x14ac:dyDescent="0.2">
      <c r="A180">
        <v>1904059</v>
      </c>
      <c r="B180">
        <v>5</v>
      </c>
      <c r="C180" t="s">
        <v>1312</v>
      </c>
      <c r="J180" t="s">
        <v>169</v>
      </c>
      <c r="N180" t="str">
        <f t="shared" si="2"/>
        <v/>
      </c>
    </row>
    <row r="181" spans="1:15" x14ac:dyDescent="0.2">
      <c r="A181">
        <v>1904059</v>
      </c>
      <c r="B181">
        <v>6</v>
      </c>
      <c r="C181" t="s">
        <v>1313</v>
      </c>
      <c r="J181" t="s">
        <v>169</v>
      </c>
      <c r="N181" t="str">
        <f t="shared" si="2"/>
        <v/>
      </c>
    </row>
    <row r="182" spans="1:15" x14ac:dyDescent="0.2">
      <c r="A182">
        <v>1904059</v>
      </c>
      <c r="B182">
        <v>7</v>
      </c>
      <c r="C182" t="s">
        <v>1314</v>
      </c>
      <c r="J182" t="s">
        <v>169</v>
      </c>
      <c r="N182" t="str">
        <f t="shared" si="2"/>
        <v/>
      </c>
    </row>
    <row r="183" spans="1:15" x14ac:dyDescent="0.2">
      <c r="A183">
        <v>1904059</v>
      </c>
      <c r="B183">
        <v>8</v>
      </c>
      <c r="C183" t="s">
        <v>1315</v>
      </c>
      <c r="D183" t="s">
        <v>884</v>
      </c>
      <c r="F183" t="s">
        <v>38</v>
      </c>
      <c r="N183" t="str">
        <f t="shared" si="2"/>
        <v/>
      </c>
    </row>
    <row r="184" spans="1:15" x14ac:dyDescent="0.2">
      <c r="A184">
        <v>1904059</v>
      </c>
      <c r="B184">
        <v>8</v>
      </c>
      <c r="C184" t="s">
        <v>1315</v>
      </c>
      <c r="D184" t="s">
        <v>1299</v>
      </c>
      <c r="F184" t="s">
        <v>38</v>
      </c>
      <c r="J184" t="s">
        <v>10</v>
      </c>
      <c r="N184" t="str">
        <f t="shared" si="2"/>
        <v/>
      </c>
    </row>
    <row r="185" spans="1:15" x14ac:dyDescent="0.2">
      <c r="A185">
        <v>1904059</v>
      </c>
      <c r="B185">
        <v>8</v>
      </c>
      <c r="C185" t="s">
        <v>1315</v>
      </c>
      <c r="D185" t="s">
        <v>1316</v>
      </c>
      <c r="E185" t="s">
        <v>146</v>
      </c>
      <c r="F185" t="s">
        <v>61</v>
      </c>
      <c r="G185" t="s">
        <v>146</v>
      </c>
      <c r="N185" t="str">
        <f t="shared" si="2"/>
        <v>TP</v>
      </c>
    </row>
    <row r="186" spans="1:15" x14ac:dyDescent="0.2">
      <c r="A186">
        <v>1904059</v>
      </c>
      <c r="B186">
        <v>8</v>
      </c>
      <c r="C186" t="s">
        <v>1315</v>
      </c>
      <c r="D186" t="s">
        <v>1317</v>
      </c>
      <c r="E186" t="s">
        <v>146</v>
      </c>
      <c r="F186" t="s">
        <v>44</v>
      </c>
      <c r="G186" t="s">
        <v>167</v>
      </c>
      <c r="M186" t="s">
        <v>61</v>
      </c>
      <c r="N186" t="str">
        <f t="shared" si="2"/>
        <v>FP</v>
      </c>
      <c r="O186" t="s">
        <v>1978</v>
      </c>
    </row>
    <row r="187" spans="1:15" x14ac:dyDescent="0.2">
      <c r="A187">
        <v>1904059</v>
      </c>
      <c r="B187">
        <v>8</v>
      </c>
      <c r="C187" t="s">
        <v>1315</v>
      </c>
      <c r="D187" t="s">
        <v>1318</v>
      </c>
      <c r="E187" t="s">
        <v>146</v>
      </c>
      <c r="F187" t="s">
        <v>44</v>
      </c>
      <c r="G187" t="s">
        <v>167</v>
      </c>
      <c r="M187" t="s">
        <v>61</v>
      </c>
      <c r="N187" t="str">
        <f t="shared" si="2"/>
        <v>FP</v>
      </c>
      <c r="O187" t="s">
        <v>1978</v>
      </c>
    </row>
    <row r="188" spans="1:15" x14ac:dyDescent="0.2">
      <c r="A188">
        <v>1904059</v>
      </c>
      <c r="B188">
        <v>9</v>
      </c>
      <c r="C188" t="s">
        <v>1319</v>
      </c>
      <c r="D188" t="s">
        <v>1299</v>
      </c>
      <c r="F188" t="s">
        <v>38</v>
      </c>
      <c r="N188" t="str">
        <f t="shared" si="2"/>
        <v/>
      </c>
    </row>
    <row r="189" spans="1:15" x14ac:dyDescent="0.2">
      <c r="A189">
        <v>1904059</v>
      </c>
      <c r="B189">
        <v>9</v>
      </c>
      <c r="C189" t="s">
        <v>1319</v>
      </c>
      <c r="D189" t="s">
        <v>1316</v>
      </c>
      <c r="E189" t="s">
        <v>146</v>
      </c>
      <c r="F189" t="s">
        <v>61</v>
      </c>
      <c r="G189" t="s">
        <v>146</v>
      </c>
      <c r="N189" t="str">
        <f t="shared" si="2"/>
        <v>TP</v>
      </c>
    </row>
    <row r="190" spans="1:15" x14ac:dyDescent="0.2">
      <c r="A190">
        <v>1904059</v>
      </c>
      <c r="B190">
        <v>9</v>
      </c>
      <c r="C190" t="s">
        <v>1319</v>
      </c>
      <c r="D190" t="s">
        <v>1320</v>
      </c>
      <c r="E190" t="s">
        <v>146</v>
      </c>
      <c r="F190" t="s">
        <v>44</v>
      </c>
      <c r="G190" t="s">
        <v>167</v>
      </c>
      <c r="M190" t="s">
        <v>61</v>
      </c>
      <c r="N190" t="str">
        <f t="shared" si="2"/>
        <v>FP</v>
      </c>
      <c r="O190" t="s">
        <v>1978</v>
      </c>
    </row>
    <row r="191" spans="1:15" x14ac:dyDescent="0.2">
      <c r="A191">
        <v>1904059</v>
      </c>
      <c r="B191">
        <v>10</v>
      </c>
      <c r="C191" t="s">
        <v>1321</v>
      </c>
      <c r="D191" t="s">
        <v>1322</v>
      </c>
      <c r="F191" t="s">
        <v>38</v>
      </c>
      <c r="N191" t="str">
        <f t="shared" si="2"/>
        <v/>
      </c>
    </row>
    <row r="192" spans="1:15" x14ac:dyDescent="0.2">
      <c r="A192">
        <v>1904059</v>
      </c>
      <c r="B192">
        <v>10</v>
      </c>
      <c r="C192" t="s">
        <v>1321</v>
      </c>
      <c r="D192" t="s">
        <v>122</v>
      </c>
      <c r="E192" t="s">
        <v>146</v>
      </c>
      <c r="F192" t="s">
        <v>61</v>
      </c>
      <c r="G192" t="s">
        <v>146</v>
      </c>
      <c r="N192" t="str">
        <f t="shared" si="2"/>
        <v>TP</v>
      </c>
    </row>
    <row r="193" spans="1:14" x14ac:dyDescent="0.2">
      <c r="A193">
        <v>1904059</v>
      </c>
      <c r="B193">
        <v>11</v>
      </c>
      <c r="C193" t="s">
        <v>1323</v>
      </c>
      <c r="D193" t="s">
        <v>1265</v>
      </c>
      <c r="F193" t="s">
        <v>38</v>
      </c>
      <c r="N193" t="str">
        <f t="shared" si="2"/>
        <v/>
      </c>
    </row>
    <row r="194" spans="1:14" x14ac:dyDescent="0.2">
      <c r="A194">
        <v>1904059</v>
      </c>
      <c r="B194">
        <v>12</v>
      </c>
      <c r="C194" t="s">
        <v>1324</v>
      </c>
      <c r="D194" t="s">
        <v>1325</v>
      </c>
      <c r="E194" t="s">
        <v>146</v>
      </c>
      <c r="F194" t="s">
        <v>61</v>
      </c>
      <c r="G194" t="s">
        <v>146</v>
      </c>
      <c r="N194" t="str">
        <f t="shared" si="2"/>
        <v>TP</v>
      </c>
    </row>
    <row r="195" spans="1:14" x14ac:dyDescent="0.2">
      <c r="A195">
        <v>1904059</v>
      </c>
      <c r="B195">
        <v>13</v>
      </c>
      <c r="C195" t="s">
        <v>1326</v>
      </c>
      <c r="D195" t="s">
        <v>1276</v>
      </c>
      <c r="F195" t="s">
        <v>38</v>
      </c>
      <c r="N195" t="str">
        <f t="shared" ref="N195:N258" si="3">IF(OR(E195="FP",G195="FP"),"FP",IF(AND(E195="TP",E195="TP"),"TP",""))</f>
        <v/>
      </c>
    </row>
    <row r="196" spans="1:14" x14ac:dyDescent="0.2">
      <c r="A196">
        <v>1904059</v>
      </c>
      <c r="B196">
        <v>14</v>
      </c>
      <c r="C196" t="s">
        <v>1327</v>
      </c>
      <c r="J196" t="s">
        <v>169</v>
      </c>
      <c r="N196" t="str">
        <f t="shared" si="3"/>
        <v/>
      </c>
    </row>
    <row r="197" spans="1:14" x14ac:dyDescent="0.2">
      <c r="A197">
        <v>1904059</v>
      </c>
      <c r="B197">
        <v>15</v>
      </c>
      <c r="C197" t="s">
        <v>1328</v>
      </c>
      <c r="J197" t="s">
        <v>169</v>
      </c>
      <c r="N197" t="str">
        <f t="shared" si="3"/>
        <v/>
      </c>
    </row>
    <row r="198" spans="1:14" x14ac:dyDescent="0.2">
      <c r="A198">
        <v>1904059</v>
      </c>
      <c r="B198">
        <v>16</v>
      </c>
      <c r="C198" t="s">
        <v>1329</v>
      </c>
      <c r="J198" t="s">
        <v>169</v>
      </c>
      <c r="N198" t="str">
        <f t="shared" si="3"/>
        <v/>
      </c>
    </row>
    <row r="199" spans="1:14" x14ac:dyDescent="0.2">
      <c r="A199">
        <v>1904059</v>
      </c>
      <c r="B199">
        <v>17</v>
      </c>
      <c r="C199" t="s">
        <v>1330</v>
      </c>
      <c r="D199" t="s">
        <v>1276</v>
      </c>
      <c r="F199" t="s">
        <v>38</v>
      </c>
      <c r="N199" t="str">
        <f t="shared" si="3"/>
        <v/>
      </c>
    </row>
    <row r="200" spans="1:14" x14ac:dyDescent="0.2">
      <c r="A200">
        <v>1991473</v>
      </c>
      <c r="B200">
        <v>0</v>
      </c>
      <c r="C200" t="s">
        <v>1331</v>
      </c>
      <c r="D200" t="s">
        <v>596</v>
      </c>
      <c r="F200" t="s">
        <v>38</v>
      </c>
      <c r="N200" t="str">
        <f t="shared" si="3"/>
        <v/>
      </c>
    </row>
    <row r="201" spans="1:14" x14ac:dyDescent="0.2">
      <c r="A201">
        <v>1991473</v>
      </c>
      <c r="B201">
        <v>1</v>
      </c>
      <c r="C201" t="s">
        <v>1332</v>
      </c>
      <c r="J201" t="s">
        <v>169</v>
      </c>
      <c r="N201" t="str">
        <f t="shared" si="3"/>
        <v/>
      </c>
    </row>
    <row r="202" spans="1:14" x14ac:dyDescent="0.2">
      <c r="A202">
        <v>1991473</v>
      </c>
      <c r="B202">
        <v>2</v>
      </c>
      <c r="C202" t="s">
        <v>1333</v>
      </c>
      <c r="J202" t="s">
        <v>169</v>
      </c>
      <c r="N202" t="str">
        <f t="shared" si="3"/>
        <v/>
      </c>
    </row>
    <row r="203" spans="1:14" x14ac:dyDescent="0.2">
      <c r="A203">
        <v>1991473</v>
      </c>
      <c r="B203">
        <v>3</v>
      </c>
      <c r="C203" t="s">
        <v>1334</v>
      </c>
      <c r="D203" t="s">
        <v>1335</v>
      </c>
      <c r="E203" t="s">
        <v>146</v>
      </c>
      <c r="F203" t="s">
        <v>44</v>
      </c>
      <c r="G203" t="s">
        <v>146</v>
      </c>
      <c r="H203" t="s">
        <v>1204</v>
      </c>
      <c r="I203" t="s">
        <v>1205</v>
      </c>
      <c r="J203" t="s">
        <v>8</v>
      </c>
      <c r="N203" t="str">
        <f t="shared" si="3"/>
        <v>TP</v>
      </c>
    </row>
    <row r="204" spans="1:14" x14ac:dyDescent="0.2">
      <c r="A204">
        <v>1991473</v>
      </c>
      <c r="B204">
        <v>4</v>
      </c>
      <c r="C204" t="s">
        <v>1336</v>
      </c>
      <c r="D204" t="s">
        <v>1337</v>
      </c>
      <c r="E204" t="s">
        <v>146</v>
      </c>
      <c r="F204" t="s">
        <v>44</v>
      </c>
      <c r="G204" t="s">
        <v>146</v>
      </c>
      <c r="J204" t="s">
        <v>10</v>
      </c>
      <c r="N204" t="str">
        <f t="shared" si="3"/>
        <v>TP</v>
      </c>
    </row>
    <row r="205" spans="1:14" x14ac:dyDescent="0.2">
      <c r="A205">
        <v>1991473</v>
      </c>
      <c r="B205">
        <v>5</v>
      </c>
      <c r="C205" t="s">
        <v>1338</v>
      </c>
      <c r="D205" t="s">
        <v>558</v>
      </c>
      <c r="F205" t="s">
        <v>38</v>
      </c>
      <c r="N205" t="str">
        <f t="shared" si="3"/>
        <v/>
      </c>
    </row>
    <row r="206" spans="1:14" x14ac:dyDescent="0.2">
      <c r="A206">
        <v>1991473</v>
      </c>
      <c r="B206">
        <v>5</v>
      </c>
      <c r="C206" t="s">
        <v>1338</v>
      </c>
      <c r="D206" t="s">
        <v>1339</v>
      </c>
      <c r="E206" t="s">
        <v>146</v>
      </c>
      <c r="F206" t="s">
        <v>61</v>
      </c>
      <c r="G206" t="s">
        <v>146</v>
      </c>
      <c r="N206" t="str">
        <f t="shared" si="3"/>
        <v>TP</v>
      </c>
    </row>
    <row r="207" spans="1:14" x14ac:dyDescent="0.2">
      <c r="A207">
        <v>1991473</v>
      </c>
      <c r="B207">
        <v>5</v>
      </c>
      <c r="C207" t="s">
        <v>1338</v>
      </c>
      <c r="D207" t="s">
        <v>1340</v>
      </c>
      <c r="F207" t="s">
        <v>38</v>
      </c>
      <c r="K207" t="s">
        <v>159</v>
      </c>
      <c r="N207" t="str">
        <f t="shared" si="3"/>
        <v/>
      </c>
    </row>
    <row r="208" spans="1:14" x14ac:dyDescent="0.2">
      <c r="A208">
        <v>1991473</v>
      </c>
      <c r="B208">
        <v>5</v>
      </c>
      <c r="C208" t="s">
        <v>1338</v>
      </c>
      <c r="D208" t="s">
        <v>1341</v>
      </c>
      <c r="F208" t="s">
        <v>38</v>
      </c>
      <c r="K208" t="s">
        <v>159</v>
      </c>
      <c r="N208" t="str">
        <f t="shared" si="3"/>
        <v/>
      </c>
    </row>
    <row r="209" spans="1:14" x14ac:dyDescent="0.2">
      <c r="A209">
        <v>1991473</v>
      </c>
      <c r="B209">
        <v>6</v>
      </c>
      <c r="C209" t="s">
        <v>1342</v>
      </c>
      <c r="D209" t="s">
        <v>1186</v>
      </c>
      <c r="F209" t="s">
        <v>38</v>
      </c>
      <c r="N209" t="str">
        <f t="shared" si="3"/>
        <v/>
      </c>
    </row>
    <row r="210" spans="1:14" x14ac:dyDescent="0.2">
      <c r="A210">
        <v>1991473</v>
      </c>
      <c r="B210">
        <v>6</v>
      </c>
      <c r="C210" t="s">
        <v>1342</v>
      </c>
      <c r="D210" t="s">
        <v>122</v>
      </c>
      <c r="E210" t="s">
        <v>146</v>
      </c>
      <c r="F210" t="s">
        <v>61</v>
      </c>
      <c r="G210" t="s">
        <v>146</v>
      </c>
      <c r="N210" t="str">
        <f t="shared" si="3"/>
        <v>TP</v>
      </c>
    </row>
    <row r="211" spans="1:14" x14ac:dyDescent="0.2">
      <c r="A211">
        <v>1991473</v>
      </c>
      <c r="B211">
        <v>6</v>
      </c>
      <c r="C211" t="s">
        <v>1342</v>
      </c>
      <c r="D211" t="s">
        <v>1058</v>
      </c>
      <c r="E211" t="s">
        <v>146</v>
      </c>
      <c r="F211" t="s">
        <v>61</v>
      </c>
      <c r="G211" t="s">
        <v>146</v>
      </c>
      <c r="N211" t="str">
        <f t="shared" si="3"/>
        <v>TP</v>
      </c>
    </row>
    <row r="212" spans="1:14" x14ac:dyDescent="0.2">
      <c r="A212">
        <v>1991473</v>
      </c>
      <c r="B212">
        <v>7</v>
      </c>
      <c r="C212" t="s">
        <v>1343</v>
      </c>
      <c r="D212" t="s">
        <v>558</v>
      </c>
      <c r="F212" t="s">
        <v>38</v>
      </c>
      <c r="N212" t="str">
        <f t="shared" si="3"/>
        <v/>
      </c>
    </row>
    <row r="213" spans="1:14" x14ac:dyDescent="0.2">
      <c r="A213">
        <v>1991473</v>
      </c>
      <c r="B213">
        <v>7</v>
      </c>
      <c r="C213" t="s">
        <v>1343</v>
      </c>
      <c r="D213" t="s">
        <v>1344</v>
      </c>
      <c r="E213" t="s">
        <v>146</v>
      </c>
      <c r="F213" t="s">
        <v>99</v>
      </c>
      <c r="G213" t="s">
        <v>146</v>
      </c>
      <c r="N213" t="str">
        <f t="shared" si="3"/>
        <v>TP</v>
      </c>
    </row>
    <row r="214" spans="1:14" x14ac:dyDescent="0.2">
      <c r="A214">
        <v>1991473</v>
      </c>
      <c r="B214">
        <v>8</v>
      </c>
      <c r="C214" t="s">
        <v>1345</v>
      </c>
      <c r="J214" t="s">
        <v>169</v>
      </c>
      <c r="N214" t="str">
        <f t="shared" si="3"/>
        <v/>
      </c>
    </row>
    <row r="215" spans="1:14" x14ac:dyDescent="0.2">
      <c r="A215">
        <v>1997323</v>
      </c>
      <c r="B215">
        <v>0</v>
      </c>
      <c r="C215" t="s">
        <v>1346</v>
      </c>
      <c r="D215" t="s">
        <v>1265</v>
      </c>
      <c r="F215" t="s">
        <v>38</v>
      </c>
      <c r="N215" t="str">
        <f t="shared" si="3"/>
        <v/>
      </c>
    </row>
    <row r="216" spans="1:14" x14ac:dyDescent="0.2">
      <c r="A216">
        <v>1997323</v>
      </c>
      <c r="B216">
        <v>1</v>
      </c>
      <c r="C216" t="s">
        <v>1347</v>
      </c>
      <c r="D216" t="s">
        <v>1348</v>
      </c>
      <c r="F216" t="s">
        <v>38</v>
      </c>
      <c r="N216" t="str">
        <f t="shared" si="3"/>
        <v/>
      </c>
    </row>
    <row r="217" spans="1:14" x14ac:dyDescent="0.2">
      <c r="A217">
        <v>1997323</v>
      </c>
      <c r="B217">
        <v>1</v>
      </c>
      <c r="C217" t="s">
        <v>1347</v>
      </c>
      <c r="D217" t="s">
        <v>1349</v>
      </c>
      <c r="E217" t="s">
        <v>146</v>
      </c>
      <c r="F217" t="s">
        <v>44</v>
      </c>
      <c r="G217" t="s">
        <v>146</v>
      </c>
      <c r="H217" t="s">
        <v>1350</v>
      </c>
      <c r="I217" t="s">
        <v>1351</v>
      </c>
      <c r="J217" t="s">
        <v>8</v>
      </c>
      <c r="N217" t="str">
        <f t="shared" si="3"/>
        <v>TP</v>
      </c>
    </row>
    <row r="218" spans="1:14" x14ac:dyDescent="0.2">
      <c r="A218">
        <v>1997323</v>
      </c>
      <c r="B218">
        <v>2</v>
      </c>
      <c r="C218" t="s">
        <v>1352</v>
      </c>
      <c r="J218" t="s">
        <v>169</v>
      </c>
      <c r="N218" t="str">
        <f t="shared" si="3"/>
        <v/>
      </c>
    </row>
    <row r="219" spans="1:14" x14ac:dyDescent="0.2">
      <c r="A219">
        <v>1997323</v>
      </c>
      <c r="B219">
        <v>3</v>
      </c>
      <c r="C219" t="s">
        <v>1353</v>
      </c>
      <c r="J219" t="s">
        <v>169</v>
      </c>
      <c r="N219" t="str">
        <f t="shared" si="3"/>
        <v/>
      </c>
    </row>
    <row r="220" spans="1:14" x14ac:dyDescent="0.2">
      <c r="A220">
        <v>1997323</v>
      </c>
      <c r="B220">
        <v>4</v>
      </c>
      <c r="C220" t="s">
        <v>1354</v>
      </c>
      <c r="J220" t="s">
        <v>169</v>
      </c>
      <c r="N220" t="str">
        <f t="shared" si="3"/>
        <v/>
      </c>
    </row>
    <row r="221" spans="1:14" x14ac:dyDescent="0.2">
      <c r="A221">
        <v>1997323</v>
      </c>
      <c r="B221">
        <v>5</v>
      </c>
      <c r="C221" t="s">
        <v>1355</v>
      </c>
      <c r="J221" t="s">
        <v>169</v>
      </c>
      <c r="N221" t="str">
        <f t="shared" si="3"/>
        <v/>
      </c>
    </row>
    <row r="222" spans="1:14" x14ac:dyDescent="0.2">
      <c r="A222">
        <v>1997323</v>
      </c>
      <c r="B222">
        <v>6</v>
      </c>
      <c r="C222" t="s">
        <v>1356</v>
      </c>
      <c r="D222" t="s">
        <v>884</v>
      </c>
      <c r="F222" t="s">
        <v>38</v>
      </c>
      <c r="N222" t="str">
        <f t="shared" si="3"/>
        <v/>
      </c>
    </row>
    <row r="223" spans="1:14" x14ac:dyDescent="0.2">
      <c r="A223">
        <v>1997323</v>
      </c>
      <c r="B223">
        <v>6</v>
      </c>
      <c r="C223" t="s">
        <v>1356</v>
      </c>
      <c r="D223" t="s">
        <v>1357</v>
      </c>
      <c r="E223" t="s">
        <v>146</v>
      </c>
      <c r="F223" t="s">
        <v>44</v>
      </c>
      <c r="G223" t="s">
        <v>146</v>
      </c>
      <c r="H223" t="s">
        <v>1204</v>
      </c>
      <c r="I223" t="s">
        <v>1205</v>
      </c>
      <c r="J223" t="s">
        <v>8</v>
      </c>
      <c r="K223" t="s">
        <v>159</v>
      </c>
      <c r="N223" t="str">
        <f t="shared" si="3"/>
        <v>TP</v>
      </c>
    </row>
    <row r="224" spans="1:14" x14ac:dyDescent="0.2">
      <c r="A224">
        <v>1997323</v>
      </c>
      <c r="B224">
        <v>7</v>
      </c>
      <c r="C224" t="s">
        <v>1358</v>
      </c>
      <c r="D224" t="s">
        <v>1359</v>
      </c>
      <c r="F224" t="s">
        <v>38</v>
      </c>
      <c r="N224" t="str">
        <f t="shared" si="3"/>
        <v/>
      </c>
    </row>
    <row r="225" spans="1:14" x14ac:dyDescent="0.2">
      <c r="A225">
        <v>1997323</v>
      </c>
      <c r="B225">
        <v>8</v>
      </c>
      <c r="C225" t="s">
        <v>1360</v>
      </c>
      <c r="D225" t="s">
        <v>1281</v>
      </c>
      <c r="F225" t="s">
        <v>38</v>
      </c>
      <c r="N225" t="str">
        <f t="shared" si="3"/>
        <v/>
      </c>
    </row>
    <row r="226" spans="1:14" x14ac:dyDescent="0.2">
      <c r="A226">
        <v>1997323</v>
      </c>
      <c r="B226">
        <v>8</v>
      </c>
      <c r="C226" t="s">
        <v>1360</v>
      </c>
      <c r="D226" t="s">
        <v>1361</v>
      </c>
      <c r="E226" t="s">
        <v>146</v>
      </c>
      <c r="F226" t="s">
        <v>44</v>
      </c>
      <c r="G226" t="s">
        <v>146</v>
      </c>
      <c r="J226" t="s">
        <v>10</v>
      </c>
      <c r="N226" t="str">
        <f t="shared" si="3"/>
        <v>TP</v>
      </c>
    </row>
    <row r="227" spans="1:14" x14ac:dyDescent="0.2">
      <c r="A227">
        <v>1997323</v>
      </c>
      <c r="B227">
        <v>8</v>
      </c>
      <c r="C227" t="s">
        <v>1360</v>
      </c>
      <c r="D227" t="s">
        <v>1362</v>
      </c>
      <c r="E227" t="s">
        <v>1790</v>
      </c>
      <c r="F227" t="s">
        <v>99</v>
      </c>
      <c r="G227" t="s">
        <v>1790</v>
      </c>
      <c r="N227" t="str">
        <f t="shared" si="3"/>
        <v/>
      </c>
    </row>
    <row r="228" spans="1:14" x14ac:dyDescent="0.2">
      <c r="A228">
        <v>1997323</v>
      </c>
      <c r="B228">
        <v>9</v>
      </c>
      <c r="C228" t="s">
        <v>1363</v>
      </c>
      <c r="J228" t="s">
        <v>169</v>
      </c>
      <c r="N228" t="str">
        <f t="shared" si="3"/>
        <v/>
      </c>
    </row>
    <row r="229" spans="1:14" x14ac:dyDescent="0.2">
      <c r="A229">
        <v>1997323</v>
      </c>
      <c r="B229">
        <v>10</v>
      </c>
      <c r="C229" t="s">
        <v>1364</v>
      </c>
      <c r="D229" t="s">
        <v>1365</v>
      </c>
      <c r="E229" t="s">
        <v>146</v>
      </c>
      <c r="F229" t="s">
        <v>44</v>
      </c>
      <c r="G229" t="s">
        <v>146</v>
      </c>
      <c r="J229" t="s">
        <v>10</v>
      </c>
      <c r="N229" t="str">
        <f t="shared" si="3"/>
        <v>TP</v>
      </c>
    </row>
    <row r="230" spans="1:14" x14ac:dyDescent="0.2">
      <c r="A230">
        <v>1997323</v>
      </c>
      <c r="B230">
        <v>11</v>
      </c>
      <c r="C230" t="s">
        <v>1366</v>
      </c>
      <c r="D230" t="s">
        <v>1367</v>
      </c>
      <c r="E230" t="s">
        <v>146</v>
      </c>
      <c r="F230" t="s">
        <v>99</v>
      </c>
      <c r="G230" t="s">
        <v>146</v>
      </c>
      <c r="N230" t="str">
        <f t="shared" si="3"/>
        <v>TP</v>
      </c>
    </row>
    <row r="231" spans="1:14" x14ac:dyDescent="0.2">
      <c r="A231">
        <v>1997323</v>
      </c>
      <c r="B231">
        <v>11</v>
      </c>
      <c r="C231" t="s">
        <v>1366</v>
      </c>
      <c r="D231" t="s">
        <v>1368</v>
      </c>
      <c r="E231" t="s">
        <v>146</v>
      </c>
      <c r="F231" t="s">
        <v>99</v>
      </c>
      <c r="G231" t="s">
        <v>146</v>
      </c>
      <c r="N231" t="str">
        <f t="shared" si="3"/>
        <v>TP</v>
      </c>
    </row>
    <row r="232" spans="1:14" x14ac:dyDescent="0.2">
      <c r="A232">
        <v>1997323</v>
      </c>
      <c r="B232">
        <v>12</v>
      </c>
      <c r="C232" t="s">
        <v>1369</v>
      </c>
      <c r="D232" t="s">
        <v>1370</v>
      </c>
      <c r="E232" t="s">
        <v>146</v>
      </c>
      <c r="F232" t="s">
        <v>99</v>
      </c>
      <c r="G232" t="s">
        <v>146</v>
      </c>
      <c r="N232" t="str">
        <f t="shared" si="3"/>
        <v>TP</v>
      </c>
    </row>
    <row r="233" spans="1:14" x14ac:dyDescent="0.2">
      <c r="A233">
        <v>1997323</v>
      </c>
      <c r="B233">
        <v>12</v>
      </c>
      <c r="C233" t="s">
        <v>1369</v>
      </c>
      <c r="D233" t="s">
        <v>1371</v>
      </c>
      <c r="E233" t="s">
        <v>146</v>
      </c>
      <c r="F233" t="s">
        <v>99</v>
      </c>
      <c r="G233" t="s">
        <v>146</v>
      </c>
      <c r="N233" t="str">
        <f t="shared" si="3"/>
        <v>TP</v>
      </c>
    </row>
    <row r="234" spans="1:14" x14ac:dyDescent="0.2">
      <c r="A234">
        <v>1997323</v>
      </c>
      <c r="B234">
        <v>13</v>
      </c>
      <c r="C234" t="s">
        <v>1372</v>
      </c>
      <c r="J234" t="s">
        <v>169</v>
      </c>
      <c r="N234" t="str">
        <f t="shared" si="3"/>
        <v/>
      </c>
    </row>
    <row r="235" spans="1:14" x14ac:dyDescent="0.2">
      <c r="A235">
        <v>1997323</v>
      </c>
      <c r="B235">
        <v>14</v>
      </c>
      <c r="C235" t="s">
        <v>1373</v>
      </c>
      <c r="D235" t="s">
        <v>1374</v>
      </c>
      <c r="E235" t="s">
        <v>146</v>
      </c>
      <c r="F235" t="s">
        <v>44</v>
      </c>
      <c r="G235" t="s">
        <v>146</v>
      </c>
      <c r="H235" t="s">
        <v>1375</v>
      </c>
      <c r="I235" t="s">
        <v>1376</v>
      </c>
      <c r="J235" t="s">
        <v>8</v>
      </c>
      <c r="N235" t="str">
        <f t="shared" si="3"/>
        <v>TP</v>
      </c>
    </row>
    <row r="236" spans="1:14" x14ac:dyDescent="0.2">
      <c r="A236">
        <v>2001693</v>
      </c>
      <c r="B236">
        <v>0</v>
      </c>
      <c r="C236" t="s">
        <v>1377</v>
      </c>
      <c r="D236" t="s">
        <v>1124</v>
      </c>
      <c r="F236" t="s">
        <v>38</v>
      </c>
      <c r="N236" t="str">
        <f t="shared" si="3"/>
        <v/>
      </c>
    </row>
    <row r="237" spans="1:14" x14ac:dyDescent="0.2">
      <c r="A237">
        <v>2001693</v>
      </c>
      <c r="B237">
        <v>1</v>
      </c>
      <c r="C237" t="s">
        <v>1378</v>
      </c>
      <c r="D237" t="s">
        <v>884</v>
      </c>
      <c r="F237" t="s">
        <v>38</v>
      </c>
      <c r="N237" t="str">
        <f t="shared" si="3"/>
        <v/>
      </c>
    </row>
    <row r="238" spans="1:14" x14ac:dyDescent="0.2">
      <c r="A238">
        <v>2001693</v>
      </c>
      <c r="B238">
        <v>1</v>
      </c>
      <c r="C238" t="s">
        <v>1378</v>
      </c>
      <c r="D238" t="s">
        <v>1379</v>
      </c>
      <c r="F238" t="s">
        <v>38</v>
      </c>
      <c r="N238" t="str">
        <f t="shared" si="3"/>
        <v/>
      </c>
    </row>
    <row r="239" spans="1:14" x14ac:dyDescent="0.2">
      <c r="A239">
        <v>2001693</v>
      </c>
      <c r="B239">
        <v>2</v>
      </c>
      <c r="C239" t="s">
        <v>1380</v>
      </c>
      <c r="D239" t="s">
        <v>888</v>
      </c>
      <c r="F239" t="s">
        <v>38</v>
      </c>
      <c r="N239" t="str">
        <f t="shared" si="3"/>
        <v/>
      </c>
    </row>
    <row r="240" spans="1:14" x14ac:dyDescent="0.2">
      <c r="A240">
        <v>2001693</v>
      </c>
      <c r="B240">
        <v>2</v>
      </c>
      <c r="C240" t="s">
        <v>1380</v>
      </c>
      <c r="D240" t="s">
        <v>1126</v>
      </c>
      <c r="F240" t="s">
        <v>38</v>
      </c>
      <c r="N240" t="str">
        <f t="shared" si="3"/>
        <v/>
      </c>
    </row>
    <row r="241" spans="1:14" x14ac:dyDescent="0.2">
      <c r="A241">
        <v>2001693</v>
      </c>
      <c r="B241">
        <v>3</v>
      </c>
      <c r="C241" t="s">
        <v>1381</v>
      </c>
      <c r="D241" t="s">
        <v>1291</v>
      </c>
      <c r="F241" t="s">
        <v>38</v>
      </c>
      <c r="N241" t="str">
        <f t="shared" si="3"/>
        <v/>
      </c>
    </row>
    <row r="242" spans="1:14" x14ac:dyDescent="0.2">
      <c r="A242">
        <v>2001693</v>
      </c>
      <c r="B242">
        <v>4</v>
      </c>
      <c r="C242" t="s">
        <v>1382</v>
      </c>
      <c r="D242" t="s">
        <v>197</v>
      </c>
      <c r="F242" t="s">
        <v>38</v>
      </c>
      <c r="N242" t="str">
        <f t="shared" si="3"/>
        <v/>
      </c>
    </row>
    <row r="243" spans="1:14" x14ac:dyDescent="0.2">
      <c r="A243">
        <v>2001693</v>
      </c>
      <c r="B243">
        <v>5</v>
      </c>
      <c r="C243" t="s">
        <v>1383</v>
      </c>
      <c r="J243" t="s">
        <v>169</v>
      </c>
      <c r="N243" t="str">
        <f t="shared" si="3"/>
        <v/>
      </c>
    </row>
    <row r="244" spans="1:14" x14ac:dyDescent="0.2">
      <c r="A244">
        <v>2001693</v>
      </c>
      <c r="B244">
        <v>6</v>
      </c>
      <c r="C244" t="s">
        <v>1384</v>
      </c>
      <c r="J244" t="s">
        <v>169</v>
      </c>
      <c r="N244" t="str">
        <f t="shared" si="3"/>
        <v/>
      </c>
    </row>
    <row r="245" spans="1:14" x14ac:dyDescent="0.2">
      <c r="A245">
        <v>2001693</v>
      </c>
      <c r="B245">
        <v>7</v>
      </c>
      <c r="C245" t="s">
        <v>1385</v>
      </c>
      <c r="J245" t="s">
        <v>169</v>
      </c>
      <c r="N245" t="str">
        <f t="shared" si="3"/>
        <v/>
      </c>
    </row>
    <row r="246" spans="1:14" x14ac:dyDescent="0.2">
      <c r="A246">
        <v>2001693</v>
      </c>
      <c r="B246">
        <v>8</v>
      </c>
      <c r="C246" t="s">
        <v>1386</v>
      </c>
      <c r="J246" t="s">
        <v>169</v>
      </c>
      <c r="N246" t="str">
        <f t="shared" si="3"/>
        <v/>
      </c>
    </row>
    <row r="247" spans="1:14" x14ac:dyDescent="0.2">
      <c r="A247">
        <v>2001693</v>
      </c>
      <c r="B247">
        <v>9</v>
      </c>
      <c r="C247" t="s">
        <v>1387</v>
      </c>
      <c r="J247" t="s">
        <v>169</v>
      </c>
      <c r="N247" t="str">
        <f t="shared" si="3"/>
        <v/>
      </c>
    </row>
    <row r="248" spans="1:14" x14ac:dyDescent="0.2">
      <c r="A248">
        <v>2001693</v>
      </c>
      <c r="B248">
        <v>10</v>
      </c>
      <c r="C248" t="s">
        <v>354</v>
      </c>
      <c r="J248" t="s">
        <v>169</v>
      </c>
      <c r="N248" t="str">
        <f t="shared" si="3"/>
        <v/>
      </c>
    </row>
    <row r="249" spans="1:14" x14ac:dyDescent="0.2">
      <c r="A249">
        <v>2001693</v>
      </c>
      <c r="B249">
        <v>11</v>
      </c>
      <c r="C249" t="s">
        <v>1388</v>
      </c>
      <c r="J249" t="s">
        <v>169</v>
      </c>
      <c r="N249" t="str">
        <f t="shared" si="3"/>
        <v/>
      </c>
    </row>
    <row r="250" spans="1:14" x14ac:dyDescent="0.2">
      <c r="A250">
        <v>2001693</v>
      </c>
      <c r="B250">
        <v>12</v>
      </c>
      <c r="C250" t="s">
        <v>1389</v>
      </c>
      <c r="D250" t="s">
        <v>197</v>
      </c>
      <c r="F250" t="s">
        <v>38</v>
      </c>
      <c r="N250" t="str">
        <f t="shared" si="3"/>
        <v/>
      </c>
    </row>
    <row r="251" spans="1:14" x14ac:dyDescent="0.2">
      <c r="A251">
        <v>2001693</v>
      </c>
      <c r="B251">
        <v>13</v>
      </c>
      <c r="C251" t="s">
        <v>1390</v>
      </c>
      <c r="D251" t="s">
        <v>720</v>
      </c>
      <c r="F251" t="s">
        <v>38</v>
      </c>
      <c r="N251" t="str">
        <f t="shared" si="3"/>
        <v/>
      </c>
    </row>
    <row r="252" spans="1:14" x14ac:dyDescent="0.2">
      <c r="A252">
        <v>2015821</v>
      </c>
      <c r="B252">
        <v>0</v>
      </c>
      <c r="C252" t="s">
        <v>1391</v>
      </c>
      <c r="D252" t="s">
        <v>1281</v>
      </c>
      <c r="F252" t="s">
        <v>38</v>
      </c>
      <c r="N252" t="str">
        <f t="shared" si="3"/>
        <v/>
      </c>
    </row>
    <row r="253" spans="1:14" x14ac:dyDescent="0.2">
      <c r="A253">
        <v>2015821</v>
      </c>
      <c r="B253">
        <v>1</v>
      </c>
      <c r="C253" t="s">
        <v>1392</v>
      </c>
      <c r="D253" t="s">
        <v>1393</v>
      </c>
      <c r="F253" t="s">
        <v>38</v>
      </c>
      <c r="N253" t="str">
        <f t="shared" si="3"/>
        <v/>
      </c>
    </row>
    <row r="254" spans="1:14" x14ac:dyDescent="0.2">
      <c r="A254">
        <v>2015821</v>
      </c>
      <c r="B254">
        <v>1</v>
      </c>
      <c r="C254" t="s">
        <v>1392</v>
      </c>
      <c r="D254" t="s">
        <v>558</v>
      </c>
      <c r="F254" t="s">
        <v>38</v>
      </c>
      <c r="N254" t="str">
        <f t="shared" si="3"/>
        <v/>
      </c>
    </row>
    <row r="255" spans="1:14" x14ac:dyDescent="0.2">
      <c r="A255">
        <v>2015821</v>
      </c>
      <c r="B255">
        <v>2</v>
      </c>
      <c r="C255" t="s">
        <v>1394</v>
      </c>
      <c r="D255" t="s">
        <v>1281</v>
      </c>
      <c r="F255" t="s">
        <v>38</v>
      </c>
      <c r="N255" t="str">
        <f t="shared" si="3"/>
        <v/>
      </c>
    </row>
    <row r="256" spans="1:14" x14ac:dyDescent="0.2">
      <c r="A256">
        <v>2015821</v>
      </c>
      <c r="B256">
        <v>3</v>
      </c>
      <c r="C256" t="s">
        <v>1395</v>
      </c>
      <c r="D256" t="s">
        <v>1396</v>
      </c>
      <c r="E256" t="s">
        <v>146</v>
      </c>
      <c r="F256" t="s">
        <v>44</v>
      </c>
      <c r="G256" t="s">
        <v>146</v>
      </c>
      <c r="H256" t="s">
        <v>1397</v>
      </c>
      <c r="I256" t="s">
        <v>1398</v>
      </c>
      <c r="J256" t="s">
        <v>8</v>
      </c>
      <c r="N256" t="str">
        <f t="shared" si="3"/>
        <v>TP</v>
      </c>
    </row>
    <row r="257" spans="1:14" x14ac:dyDescent="0.2">
      <c r="A257">
        <v>2015821</v>
      </c>
      <c r="B257">
        <v>3</v>
      </c>
      <c r="C257" t="s">
        <v>1395</v>
      </c>
      <c r="D257" t="s">
        <v>1399</v>
      </c>
      <c r="E257" t="s">
        <v>146</v>
      </c>
      <c r="F257" t="s">
        <v>44</v>
      </c>
      <c r="G257" t="s">
        <v>146</v>
      </c>
      <c r="J257" t="s">
        <v>10</v>
      </c>
      <c r="N257" t="str">
        <f t="shared" si="3"/>
        <v>TP</v>
      </c>
    </row>
    <row r="258" spans="1:14" x14ac:dyDescent="0.2">
      <c r="A258">
        <v>2015821</v>
      </c>
      <c r="B258">
        <v>3</v>
      </c>
      <c r="C258" t="s">
        <v>1395</v>
      </c>
      <c r="D258" t="s">
        <v>1400</v>
      </c>
      <c r="E258" t="s">
        <v>146</v>
      </c>
      <c r="F258" t="s">
        <v>44</v>
      </c>
      <c r="G258" t="s">
        <v>146</v>
      </c>
      <c r="J258" t="s">
        <v>10</v>
      </c>
      <c r="N258" t="str">
        <f t="shared" si="3"/>
        <v>TP</v>
      </c>
    </row>
    <row r="259" spans="1:14" x14ac:dyDescent="0.2">
      <c r="A259">
        <v>2015821</v>
      </c>
      <c r="B259">
        <v>4</v>
      </c>
      <c r="C259" t="s">
        <v>1401</v>
      </c>
      <c r="D259" t="s">
        <v>1402</v>
      </c>
      <c r="E259" t="s">
        <v>167</v>
      </c>
      <c r="F259" t="s">
        <v>44</v>
      </c>
      <c r="G259" t="s">
        <v>167</v>
      </c>
      <c r="J259" t="s">
        <v>169</v>
      </c>
      <c r="N259" t="str">
        <f t="shared" ref="N259:N322" si="4">IF(OR(E259="FP",G259="FP"),"FP",IF(AND(E259="TP",E259="TP"),"TP",""))</f>
        <v>FP</v>
      </c>
    </row>
    <row r="260" spans="1:14" x14ac:dyDescent="0.2">
      <c r="A260">
        <v>2015821</v>
      </c>
      <c r="B260">
        <v>4</v>
      </c>
      <c r="C260" t="s">
        <v>1401</v>
      </c>
      <c r="D260" t="s">
        <v>1403</v>
      </c>
      <c r="E260" t="s">
        <v>1790</v>
      </c>
      <c r="F260" t="s">
        <v>44</v>
      </c>
      <c r="G260" t="s">
        <v>1790</v>
      </c>
      <c r="J260" t="s">
        <v>10</v>
      </c>
      <c r="N260" t="str">
        <f t="shared" si="4"/>
        <v/>
      </c>
    </row>
    <row r="261" spans="1:14" x14ac:dyDescent="0.2">
      <c r="A261">
        <v>2015821</v>
      </c>
      <c r="B261">
        <v>5</v>
      </c>
      <c r="C261" t="s">
        <v>1404</v>
      </c>
      <c r="D261" t="s">
        <v>1402</v>
      </c>
      <c r="E261" t="s">
        <v>167</v>
      </c>
      <c r="F261" t="s">
        <v>44</v>
      </c>
      <c r="G261" t="s">
        <v>167</v>
      </c>
      <c r="J261" t="s">
        <v>169</v>
      </c>
      <c r="N261" t="str">
        <f t="shared" si="4"/>
        <v>FP</v>
      </c>
    </row>
    <row r="262" spans="1:14" x14ac:dyDescent="0.2">
      <c r="A262">
        <v>2015821</v>
      </c>
      <c r="B262">
        <v>5</v>
      </c>
      <c r="C262" t="s">
        <v>1404</v>
      </c>
      <c r="D262" t="s">
        <v>1405</v>
      </c>
      <c r="E262" t="s">
        <v>1790</v>
      </c>
      <c r="F262" t="s">
        <v>44</v>
      </c>
      <c r="G262" t="s">
        <v>1790</v>
      </c>
      <c r="J262" t="s">
        <v>10</v>
      </c>
      <c r="N262" t="str">
        <f t="shared" si="4"/>
        <v/>
      </c>
    </row>
    <row r="263" spans="1:14" x14ac:dyDescent="0.2">
      <c r="A263">
        <v>2015821</v>
      </c>
      <c r="B263">
        <v>6</v>
      </c>
      <c r="C263" t="s">
        <v>1406</v>
      </c>
      <c r="D263" t="s">
        <v>1407</v>
      </c>
      <c r="E263" t="s">
        <v>146</v>
      </c>
      <c r="F263" t="s">
        <v>44</v>
      </c>
      <c r="G263" t="s">
        <v>146</v>
      </c>
      <c r="H263" t="s">
        <v>1408</v>
      </c>
      <c r="I263" t="s">
        <v>1409</v>
      </c>
      <c r="J263" t="s">
        <v>8</v>
      </c>
      <c r="N263" t="str">
        <f t="shared" si="4"/>
        <v>TP</v>
      </c>
    </row>
    <row r="264" spans="1:14" x14ac:dyDescent="0.2">
      <c r="A264">
        <v>2015821</v>
      </c>
      <c r="B264">
        <v>6</v>
      </c>
      <c r="C264" t="s">
        <v>1406</v>
      </c>
      <c r="D264" t="s">
        <v>1410</v>
      </c>
      <c r="E264" t="s">
        <v>146</v>
      </c>
      <c r="F264" t="s">
        <v>44</v>
      </c>
      <c r="G264" t="s">
        <v>146</v>
      </c>
      <c r="H264" t="s">
        <v>1408</v>
      </c>
      <c r="I264" t="s">
        <v>1409</v>
      </c>
      <c r="J264" t="s">
        <v>8</v>
      </c>
      <c r="N264" t="str">
        <f t="shared" si="4"/>
        <v>TP</v>
      </c>
    </row>
    <row r="265" spans="1:14" x14ac:dyDescent="0.2">
      <c r="A265">
        <v>2015821</v>
      </c>
      <c r="B265">
        <v>6</v>
      </c>
      <c r="C265" t="s">
        <v>1406</v>
      </c>
      <c r="D265" t="s">
        <v>1411</v>
      </c>
      <c r="E265" t="s">
        <v>146</v>
      </c>
      <c r="F265" t="s">
        <v>44</v>
      </c>
      <c r="G265" t="s">
        <v>146</v>
      </c>
      <c r="H265" t="s">
        <v>1204</v>
      </c>
      <c r="I265" t="s">
        <v>1205</v>
      </c>
      <c r="J265" t="s">
        <v>8</v>
      </c>
      <c r="N265" t="str">
        <f t="shared" si="4"/>
        <v>TP</v>
      </c>
    </row>
    <row r="266" spans="1:14" x14ac:dyDescent="0.2">
      <c r="A266">
        <v>2015821</v>
      </c>
      <c r="B266">
        <v>7</v>
      </c>
      <c r="C266" t="s">
        <v>1412</v>
      </c>
      <c r="D266" t="s">
        <v>1411</v>
      </c>
      <c r="E266" t="s">
        <v>146</v>
      </c>
      <c r="F266" t="s">
        <v>44</v>
      </c>
      <c r="G266" t="s">
        <v>146</v>
      </c>
      <c r="H266" t="s">
        <v>1204</v>
      </c>
      <c r="I266" t="s">
        <v>1205</v>
      </c>
      <c r="J266" t="s">
        <v>8</v>
      </c>
      <c r="N266" t="str">
        <f t="shared" si="4"/>
        <v>TP</v>
      </c>
    </row>
    <row r="267" spans="1:14" x14ac:dyDescent="0.2">
      <c r="A267">
        <v>2015821</v>
      </c>
      <c r="B267">
        <v>7</v>
      </c>
      <c r="C267" t="s">
        <v>1412</v>
      </c>
      <c r="D267" t="s">
        <v>1410</v>
      </c>
      <c r="E267" t="s">
        <v>146</v>
      </c>
      <c r="F267" t="s">
        <v>44</v>
      </c>
      <c r="G267" t="s">
        <v>146</v>
      </c>
      <c r="H267" t="s">
        <v>1408</v>
      </c>
      <c r="I267" t="s">
        <v>1409</v>
      </c>
      <c r="J267" t="s">
        <v>8</v>
      </c>
      <c r="N267" t="str">
        <f t="shared" si="4"/>
        <v>TP</v>
      </c>
    </row>
    <row r="268" spans="1:14" x14ac:dyDescent="0.2">
      <c r="A268">
        <v>2023947</v>
      </c>
      <c r="B268">
        <v>0</v>
      </c>
      <c r="C268" t="s">
        <v>1413</v>
      </c>
      <c r="J268" t="s">
        <v>169</v>
      </c>
      <c r="N268" t="str">
        <f t="shared" si="4"/>
        <v/>
      </c>
    </row>
    <row r="269" spans="1:14" x14ac:dyDescent="0.2">
      <c r="A269">
        <v>2023947</v>
      </c>
      <c r="B269">
        <v>1</v>
      </c>
      <c r="C269" t="s">
        <v>1414</v>
      </c>
      <c r="J269" t="s">
        <v>169</v>
      </c>
      <c r="N269" t="str">
        <f t="shared" si="4"/>
        <v/>
      </c>
    </row>
    <row r="270" spans="1:14" x14ac:dyDescent="0.2">
      <c r="A270">
        <v>2023947</v>
      </c>
      <c r="B270">
        <v>2</v>
      </c>
      <c r="C270" t="s">
        <v>1415</v>
      </c>
      <c r="J270" t="s">
        <v>169</v>
      </c>
      <c r="N270" t="str">
        <f t="shared" si="4"/>
        <v/>
      </c>
    </row>
    <row r="271" spans="1:14" x14ac:dyDescent="0.2">
      <c r="A271">
        <v>2023947</v>
      </c>
      <c r="B271">
        <v>3</v>
      </c>
      <c r="C271" t="s">
        <v>1416</v>
      </c>
      <c r="D271" t="s">
        <v>1417</v>
      </c>
      <c r="F271" t="s">
        <v>38</v>
      </c>
      <c r="N271" t="str">
        <f t="shared" si="4"/>
        <v/>
      </c>
    </row>
    <row r="272" spans="1:14" x14ac:dyDescent="0.2">
      <c r="A272">
        <v>2023947</v>
      </c>
      <c r="B272">
        <v>3</v>
      </c>
      <c r="C272" t="s">
        <v>1416</v>
      </c>
      <c r="D272" t="s">
        <v>1291</v>
      </c>
      <c r="F272" t="s">
        <v>38</v>
      </c>
      <c r="N272" t="str">
        <f t="shared" si="4"/>
        <v/>
      </c>
    </row>
    <row r="273" spans="1:15" x14ac:dyDescent="0.2">
      <c r="A273">
        <v>2023947</v>
      </c>
      <c r="B273">
        <v>3</v>
      </c>
      <c r="C273" t="s">
        <v>1416</v>
      </c>
      <c r="D273" t="s">
        <v>122</v>
      </c>
      <c r="E273" t="s">
        <v>146</v>
      </c>
      <c r="F273" t="s">
        <v>61</v>
      </c>
      <c r="G273" t="s">
        <v>146</v>
      </c>
      <c r="N273" t="str">
        <f t="shared" si="4"/>
        <v>TP</v>
      </c>
    </row>
    <row r="274" spans="1:15" x14ac:dyDescent="0.2">
      <c r="A274">
        <v>2023947</v>
      </c>
      <c r="B274">
        <v>4</v>
      </c>
      <c r="C274" t="s">
        <v>1418</v>
      </c>
      <c r="D274" t="s">
        <v>1419</v>
      </c>
      <c r="F274" t="s">
        <v>38</v>
      </c>
      <c r="N274" t="str">
        <f t="shared" si="4"/>
        <v/>
      </c>
    </row>
    <row r="275" spans="1:15" x14ac:dyDescent="0.2">
      <c r="A275">
        <v>2023947</v>
      </c>
      <c r="B275">
        <v>4</v>
      </c>
      <c r="C275" t="s">
        <v>1418</v>
      </c>
      <c r="D275" t="s">
        <v>884</v>
      </c>
      <c r="F275" t="s">
        <v>38</v>
      </c>
      <c r="N275" t="str">
        <f t="shared" si="4"/>
        <v/>
      </c>
    </row>
    <row r="276" spans="1:15" x14ac:dyDescent="0.2">
      <c r="A276">
        <v>2023947</v>
      </c>
      <c r="B276">
        <v>5</v>
      </c>
      <c r="C276" t="s">
        <v>1420</v>
      </c>
      <c r="D276" t="s">
        <v>1796</v>
      </c>
      <c r="E276" t="s">
        <v>167</v>
      </c>
      <c r="F276" t="s">
        <v>44</v>
      </c>
      <c r="G276" t="s">
        <v>167</v>
      </c>
      <c r="N276" t="str">
        <f t="shared" si="4"/>
        <v>FP</v>
      </c>
    </row>
    <row r="277" spans="1:15" x14ac:dyDescent="0.2">
      <c r="A277">
        <v>2023947</v>
      </c>
      <c r="B277">
        <v>6</v>
      </c>
      <c r="C277" t="s">
        <v>1421</v>
      </c>
      <c r="J277" t="s">
        <v>169</v>
      </c>
      <c r="N277" t="str">
        <f t="shared" si="4"/>
        <v/>
      </c>
    </row>
    <row r="278" spans="1:15" x14ac:dyDescent="0.2">
      <c r="A278">
        <v>2033371</v>
      </c>
      <c r="B278">
        <v>0</v>
      </c>
      <c r="C278" t="s">
        <v>1422</v>
      </c>
      <c r="J278" t="s">
        <v>169</v>
      </c>
      <c r="N278" t="str">
        <f t="shared" si="4"/>
        <v/>
      </c>
    </row>
    <row r="279" spans="1:15" x14ac:dyDescent="0.2">
      <c r="A279">
        <v>2033371</v>
      </c>
      <c r="B279">
        <v>1</v>
      </c>
      <c r="C279" t="s">
        <v>1423</v>
      </c>
      <c r="J279" t="s">
        <v>169</v>
      </c>
      <c r="N279" t="str">
        <f t="shared" si="4"/>
        <v/>
      </c>
    </row>
    <row r="280" spans="1:15" x14ac:dyDescent="0.2">
      <c r="A280">
        <v>2033371</v>
      </c>
      <c r="B280">
        <v>2</v>
      </c>
      <c r="C280" t="s">
        <v>1424</v>
      </c>
      <c r="D280" t="s">
        <v>1124</v>
      </c>
      <c r="F280" t="s">
        <v>38</v>
      </c>
      <c r="N280" t="str">
        <f t="shared" si="4"/>
        <v/>
      </c>
    </row>
    <row r="281" spans="1:15" x14ac:dyDescent="0.2">
      <c r="A281">
        <v>2033371</v>
      </c>
      <c r="B281">
        <v>2</v>
      </c>
      <c r="C281" t="s">
        <v>1424</v>
      </c>
      <c r="D281" t="s">
        <v>1425</v>
      </c>
      <c r="F281" t="s">
        <v>38</v>
      </c>
      <c r="N281" t="str">
        <f t="shared" si="4"/>
        <v/>
      </c>
    </row>
    <row r="282" spans="1:15" x14ac:dyDescent="0.2">
      <c r="A282">
        <v>2033371</v>
      </c>
      <c r="B282">
        <v>3</v>
      </c>
      <c r="C282" t="s">
        <v>1426</v>
      </c>
      <c r="N282" t="str">
        <f t="shared" si="4"/>
        <v/>
      </c>
    </row>
    <row r="283" spans="1:15" x14ac:dyDescent="0.2">
      <c r="A283">
        <v>2033371</v>
      </c>
      <c r="B283">
        <v>4</v>
      </c>
      <c r="C283" t="s">
        <v>1427</v>
      </c>
      <c r="J283" t="s">
        <v>169</v>
      </c>
      <c r="N283" t="str">
        <f t="shared" si="4"/>
        <v/>
      </c>
    </row>
    <row r="284" spans="1:15" x14ac:dyDescent="0.2">
      <c r="A284">
        <v>2033371</v>
      </c>
      <c r="B284">
        <v>5</v>
      </c>
      <c r="C284" t="s">
        <v>1428</v>
      </c>
      <c r="D284" t="s">
        <v>1797</v>
      </c>
      <c r="E284" t="s">
        <v>167</v>
      </c>
      <c r="F284" t="s">
        <v>3</v>
      </c>
      <c r="G284" t="s">
        <v>167</v>
      </c>
      <c r="J284" t="s">
        <v>169</v>
      </c>
      <c r="N284" t="str">
        <f t="shared" si="4"/>
        <v>FP</v>
      </c>
    </row>
    <row r="285" spans="1:15" x14ac:dyDescent="0.2">
      <c r="A285">
        <v>2033371</v>
      </c>
      <c r="B285">
        <v>6</v>
      </c>
      <c r="C285" t="s">
        <v>1429</v>
      </c>
      <c r="D285" t="s">
        <v>828</v>
      </c>
      <c r="F285" t="s">
        <v>38</v>
      </c>
      <c r="N285" t="str">
        <f t="shared" si="4"/>
        <v/>
      </c>
    </row>
    <row r="286" spans="1:15" x14ac:dyDescent="0.2">
      <c r="A286">
        <v>2033371</v>
      </c>
      <c r="B286">
        <v>6</v>
      </c>
      <c r="C286" t="s">
        <v>1429</v>
      </c>
      <c r="D286" t="s">
        <v>558</v>
      </c>
      <c r="F286" t="s">
        <v>38</v>
      </c>
      <c r="N286" t="str">
        <f t="shared" si="4"/>
        <v/>
      </c>
    </row>
    <row r="287" spans="1:15" x14ac:dyDescent="0.2">
      <c r="A287">
        <v>2033371</v>
      </c>
      <c r="B287">
        <v>7</v>
      </c>
      <c r="C287" t="s">
        <v>1430</v>
      </c>
      <c r="D287" t="s">
        <v>1431</v>
      </c>
      <c r="F287" t="s">
        <v>38</v>
      </c>
      <c r="N287" t="str">
        <f t="shared" si="4"/>
        <v/>
      </c>
    </row>
    <row r="288" spans="1:15" ht="19" x14ac:dyDescent="0.2">
      <c r="A288">
        <v>2033371</v>
      </c>
      <c r="B288">
        <v>7</v>
      </c>
      <c r="C288" t="s">
        <v>1430</v>
      </c>
      <c r="D288" t="s">
        <v>1432</v>
      </c>
      <c r="E288" t="s">
        <v>167</v>
      </c>
      <c r="F288" t="s">
        <v>99</v>
      </c>
      <c r="G288" t="s">
        <v>146</v>
      </c>
      <c r="M288" s="16" t="s">
        <v>1798</v>
      </c>
      <c r="N288" t="str">
        <f t="shared" si="4"/>
        <v>FP</v>
      </c>
      <c r="O288" t="s">
        <v>1991</v>
      </c>
    </row>
    <row r="289" spans="1:15" x14ac:dyDescent="0.2">
      <c r="A289">
        <v>2033371</v>
      </c>
      <c r="B289">
        <v>7</v>
      </c>
      <c r="C289" t="s">
        <v>1430</v>
      </c>
      <c r="D289" t="s">
        <v>1433</v>
      </c>
      <c r="E289" t="s">
        <v>167</v>
      </c>
      <c r="F289" t="s">
        <v>99</v>
      </c>
      <c r="G289" t="s">
        <v>146</v>
      </c>
      <c r="N289" t="str">
        <f t="shared" si="4"/>
        <v>FP</v>
      </c>
    </row>
    <row r="290" spans="1:15" x14ac:dyDescent="0.2">
      <c r="A290">
        <v>2033371</v>
      </c>
      <c r="B290">
        <v>7</v>
      </c>
      <c r="C290" t="s">
        <v>1430</v>
      </c>
      <c r="D290" t="s">
        <v>1432</v>
      </c>
      <c r="E290" t="s">
        <v>167</v>
      </c>
      <c r="F290" t="s">
        <v>99</v>
      </c>
      <c r="N290" t="str">
        <f t="shared" si="4"/>
        <v>FP</v>
      </c>
    </row>
    <row r="291" spans="1:15" x14ac:dyDescent="0.2">
      <c r="A291">
        <v>2033371</v>
      </c>
      <c r="B291">
        <v>7</v>
      </c>
      <c r="C291" t="s">
        <v>1430</v>
      </c>
      <c r="D291" t="s">
        <v>1434</v>
      </c>
      <c r="E291" t="s">
        <v>167</v>
      </c>
      <c r="F291" t="s">
        <v>99</v>
      </c>
      <c r="M291" t="s">
        <v>1799</v>
      </c>
      <c r="N291" t="str">
        <f t="shared" si="4"/>
        <v>FP</v>
      </c>
      <c r="O291" t="s">
        <v>1991</v>
      </c>
    </row>
    <row r="292" spans="1:15" x14ac:dyDescent="0.2">
      <c r="A292">
        <v>2033371</v>
      </c>
      <c r="B292">
        <v>8</v>
      </c>
      <c r="C292" t="s">
        <v>1435</v>
      </c>
      <c r="D292" t="s">
        <v>1436</v>
      </c>
      <c r="E292" t="s">
        <v>167</v>
      </c>
      <c r="F292" t="s">
        <v>44</v>
      </c>
      <c r="G292" t="s">
        <v>167</v>
      </c>
      <c r="J292" t="s">
        <v>10</v>
      </c>
      <c r="M292" t="s">
        <v>1800</v>
      </c>
      <c r="N292" t="str">
        <f t="shared" si="4"/>
        <v>FP</v>
      </c>
      <c r="O292" t="s">
        <v>1991</v>
      </c>
    </row>
    <row r="293" spans="1:15" x14ac:dyDescent="0.2">
      <c r="A293">
        <v>2033371</v>
      </c>
      <c r="B293">
        <v>8</v>
      </c>
      <c r="C293" t="s">
        <v>1435</v>
      </c>
      <c r="D293" t="s">
        <v>197</v>
      </c>
      <c r="F293" t="s">
        <v>38</v>
      </c>
      <c r="N293" t="str">
        <f t="shared" si="4"/>
        <v/>
      </c>
    </row>
    <row r="294" spans="1:15" x14ac:dyDescent="0.2">
      <c r="A294">
        <v>2033371</v>
      </c>
      <c r="B294">
        <v>9</v>
      </c>
      <c r="C294" t="s">
        <v>1437</v>
      </c>
      <c r="D294" t="s">
        <v>828</v>
      </c>
      <c r="F294" t="s">
        <v>38</v>
      </c>
      <c r="N294" t="str">
        <f t="shared" si="4"/>
        <v/>
      </c>
    </row>
    <row r="295" spans="1:15" x14ac:dyDescent="0.2">
      <c r="A295">
        <v>2033371</v>
      </c>
      <c r="B295">
        <v>9</v>
      </c>
      <c r="C295" t="s">
        <v>1437</v>
      </c>
      <c r="D295" t="s">
        <v>1438</v>
      </c>
      <c r="E295" t="s">
        <v>167</v>
      </c>
      <c r="F295" t="s">
        <v>99</v>
      </c>
      <c r="G295" t="s">
        <v>146</v>
      </c>
      <c r="N295" t="str">
        <f t="shared" si="4"/>
        <v>FP</v>
      </c>
    </row>
    <row r="296" spans="1:15" x14ac:dyDescent="0.2">
      <c r="A296">
        <v>2033371</v>
      </c>
      <c r="B296">
        <v>9</v>
      </c>
      <c r="C296" t="s">
        <v>1437</v>
      </c>
      <c r="D296" t="s">
        <v>1439</v>
      </c>
      <c r="E296" t="s">
        <v>167</v>
      </c>
      <c r="F296" t="s">
        <v>99</v>
      </c>
      <c r="G296" t="s">
        <v>146</v>
      </c>
      <c r="N296" t="str">
        <f t="shared" si="4"/>
        <v>FP</v>
      </c>
    </row>
    <row r="297" spans="1:15" x14ac:dyDescent="0.2">
      <c r="A297">
        <v>2033371</v>
      </c>
      <c r="B297">
        <v>9</v>
      </c>
      <c r="C297" t="s">
        <v>1437</v>
      </c>
      <c r="D297" t="s">
        <v>1440</v>
      </c>
      <c r="E297" t="s">
        <v>167</v>
      </c>
      <c r="F297" t="s">
        <v>99</v>
      </c>
      <c r="G297" t="s">
        <v>146</v>
      </c>
      <c r="N297" t="str">
        <f t="shared" si="4"/>
        <v>FP</v>
      </c>
    </row>
    <row r="298" spans="1:15" x14ac:dyDescent="0.2">
      <c r="A298">
        <v>2033371</v>
      </c>
      <c r="B298">
        <v>10</v>
      </c>
      <c r="C298" t="s">
        <v>1441</v>
      </c>
      <c r="J298" t="s">
        <v>169</v>
      </c>
      <c r="N298" t="str">
        <f t="shared" si="4"/>
        <v/>
      </c>
    </row>
    <row r="299" spans="1:15" x14ac:dyDescent="0.2">
      <c r="A299">
        <v>2040275</v>
      </c>
      <c r="B299">
        <v>0</v>
      </c>
      <c r="C299" t="s">
        <v>1442</v>
      </c>
      <c r="J299" t="s">
        <v>169</v>
      </c>
      <c r="N299" t="str">
        <f t="shared" si="4"/>
        <v/>
      </c>
    </row>
    <row r="300" spans="1:15" x14ac:dyDescent="0.2">
      <c r="A300">
        <v>2040275</v>
      </c>
      <c r="B300">
        <v>1</v>
      </c>
      <c r="C300" t="s">
        <v>1443</v>
      </c>
      <c r="D300" t="s">
        <v>197</v>
      </c>
      <c r="F300" t="s">
        <v>38</v>
      </c>
      <c r="N300" t="str">
        <f t="shared" si="4"/>
        <v/>
      </c>
    </row>
    <row r="301" spans="1:15" x14ac:dyDescent="0.2">
      <c r="A301">
        <v>2040275</v>
      </c>
      <c r="B301">
        <v>2</v>
      </c>
      <c r="C301" t="s">
        <v>1444</v>
      </c>
      <c r="D301" t="s">
        <v>558</v>
      </c>
      <c r="F301" t="s">
        <v>38</v>
      </c>
      <c r="N301" t="str">
        <f t="shared" si="4"/>
        <v/>
      </c>
    </row>
    <row r="302" spans="1:15" x14ac:dyDescent="0.2">
      <c r="A302">
        <v>2040275</v>
      </c>
      <c r="B302">
        <v>3</v>
      </c>
      <c r="C302" t="s">
        <v>1445</v>
      </c>
      <c r="D302" t="s">
        <v>558</v>
      </c>
      <c r="F302" t="s">
        <v>38</v>
      </c>
      <c r="N302" t="str">
        <f t="shared" si="4"/>
        <v/>
      </c>
    </row>
    <row r="303" spans="1:15" x14ac:dyDescent="0.2">
      <c r="A303">
        <v>2040275</v>
      </c>
      <c r="B303">
        <v>4</v>
      </c>
      <c r="C303" t="s">
        <v>1446</v>
      </c>
      <c r="J303" t="s">
        <v>169</v>
      </c>
      <c r="N303" t="str">
        <f t="shared" si="4"/>
        <v/>
      </c>
    </row>
    <row r="304" spans="1:15" x14ac:dyDescent="0.2">
      <c r="A304">
        <v>2040275</v>
      </c>
      <c r="B304">
        <v>5</v>
      </c>
      <c r="C304" t="s">
        <v>1447</v>
      </c>
      <c r="D304" t="s">
        <v>558</v>
      </c>
      <c r="F304" t="s">
        <v>38</v>
      </c>
      <c r="N304" t="str">
        <f t="shared" si="4"/>
        <v/>
      </c>
    </row>
    <row r="305" spans="1:14" x14ac:dyDescent="0.2">
      <c r="A305">
        <v>2040275</v>
      </c>
      <c r="B305">
        <v>6</v>
      </c>
      <c r="C305" t="s">
        <v>1448</v>
      </c>
      <c r="D305" t="s">
        <v>197</v>
      </c>
      <c r="F305" t="s">
        <v>38</v>
      </c>
      <c r="N305" t="str">
        <f t="shared" si="4"/>
        <v/>
      </c>
    </row>
    <row r="306" spans="1:14" x14ac:dyDescent="0.2">
      <c r="A306">
        <v>2040275</v>
      </c>
      <c r="B306">
        <v>7</v>
      </c>
      <c r="C306" t="s">
        <v>1449</v>
      </c>
      <c r="D306" t="s">
        <v>1450</v>
      </c>
      <c r="F306" t="s">
        <v>38</v>
      </c>
      <c r="N306" t="str">
        <f t="shared" si="4"/>
        <v/>
      </c>
    </row>
    <row r="307" spans="1:14" x14ac:dyDescent="0.2">
      <c r="A307">
        <v>2040275</v>
      </c>
      <c r="B307">
        <v>8</v>
      </c>
      <c r="C307" t="s">
        <v>1451</v>
      </c>
      <c r="N307" t="str">
        <f t="shared" si="4"/>
        <v/>
      </c>
    </row>
    <row r="308" spans="1:14" x14ac:dyDescent="0.2">
      <c r="A308">
        <v>2040275</v>
      </c>
      <c r="B308">
        <v>9</v>
      </c>
      <c r="C308" t="s">
        <v>1452</v>
      </c>
      <c r="D308" t="s">
        <v>1453</v>
      </c>
      <c r="F308" t="s">
        <v>38</v>
      </c>
      <c r="N308" t="str">
        <f t="shared" si="4"/>
        <v/>
      </c>
    </row>
    <row r="309" spans="1:14" x14ac:dyDescent="0.2">
      <c r="A309">
        <v>2040275</v>
      </c>
      <c r="B309">
        <v>10</v>
      </c>
      <c r="C309" t="s">
        <v>1454</v>
      </c>
      <c r="J309" t="s">
        <v>169</v>
      </c>
      <c r="N309" t="str">
        <f t="shared" si="4"/>
        <v/>
      </c>
    </row>
    <row r="310" spans="1:14" x14ac:dyDescent="0.2">
      <c r="A310">
        <v>2040277</v>
      </c>
      <c r="B310">
        <v>0</v>
      </c>
      <c r="C310" t="s">
        <v>1455</v>
      </c>
      <c r="D310" t="s">
        <v>1456</v>
      </c>
      <c r="F310" t="s">
        <v>38</v>
      </c>
      <c r="N310" t="str">
        <f t="shared" si="4"/>
        <v/>
      </c>
    </row>
    <row r="311" spans="1:14" x14ac:dyDescent="0.2">
      <c r="A311">
        <v>2040277</v>
      </c>
      <c r="B311">
        <v>1</v>
      </c>
      <c r="C311" t="s">
        <v>1457</v>
      </c>
      <c r="D311" t="s">
        <v>558</v>
      </c>
      <c r="F311" t="s">
        <v>38</v>
      </c>
      <c r="N311" t="str">
        <f t="shared" si="4"/>
        <v/>
      </c>
    </row>
    <row r="312" spans="1:14" x14ac:dyDescent="0.2">
      <c r="A312">
        <v>2040277</v>
      </c>
      <c r="B312">
        <v>1</v>
      </c>
      <c r="C312" t="s">
        <v>1457</v>
      </c>
      <c r="D312" t="s">
        <v>1458</v>
      </c>
      <c r="E312" t="s">
        <v>146</v>
      </c>
      <c r="F312" t="s">
        <v>99</v>
      </c>
      <c r="G312" t="s">
        <v>146</v>
      </c>
      <c r="N312" t="str">
        <f t="shared" si="4"/>
        <v>TP</v>
      </c>
    </row>
    <row r="313" spans="1:14" x14ac:dyDescent="0.2">
      <c r="A313">
        <v>2040278</v>
      </c>
      <c r="B313">
        <v>0</v>
      </c>
      <c r="C313" t="s">
        <v>1459</v>
      </c>
      <c r="D313" t="s">
        <v>1456</v>
      </c>
      <c r="F313" t="s">
        <v>38</v>
      </c>
      <c r="N313" t="str">
        <f t="shared" si="4"/>
        <v/>
      </c>
    </row>
    <row r="314" spans="1:14" x14ac:dyDescent="0.2">
      <c r="A314">
        <v>2040278</v>
      </c>
      <c r="B314">
        <v>1</v>
      </c>
      <c r="C314" t="s">
        <v>1460</v>
      </c>
      <c r="D314" t="s">
        <v>1461</v>
      </c>
      <c r="F314" t="s">
        <v>38</v>
      </c>
      <c r="N314" t="str">
        <f t="shared" si="4"/>
        <v/>
      </c>
    </row>
    <row r="315" spans="1:14" x14ac:dyDescent="0.2">
      <c r="A315">
        <v>2040278</v>
      </c>
      <c r="B315">
        <v>1</v>
      </c>
      <c r="C315" t="s">
        <v>1460</v>
      </c>
      <c r="D315" t="s">
        <v>1462</v>
      </c>
      <c r="E315" t="s">
        <v>146</v>
      </c>
      <c r="F315" t="s">
        <v>99</v>
      </c>
      <c r="G315" t="s">
        <v>146</v>
      </c>
      <c r="N315" t="str">
        <f t="shared" si="4"/>
        <v>TP</v>
      </c>
    </row>
    <row r="316" spans="1:14" x14ac:dyDescent="0.2">
      <c r="A316">
        <v>2049076</v>
      </c>
      <c r="B316">
        <v>0</v>
      </c>
      <c r="C316" t="s">
        <v>1463</v>
      </c>
      <c r="J316" t="s">
        <v>169</v>
      </c>
      <c r="N316" t="str">
        <f t="shared" si="4"/>
        <v/>
      </c>
    </row>
    <row r="317" spans="1:14" x14ac:dyDescent="0.2">
      <c r="A317">
        <v>2049076</v>
      </c>
      <c r="B317">
        <v>1</v>
      </c>
      <c r="C317" t="s">
        <v>1464</v>
      </c>
      <c r="D317" t="s">
        <v>1465</v>
      </c>
      <c r="E317" t="s">
        <v>167</v>
      </c>
      <c r="F317" t="s">
        <v>44</v>
      </c>
      <c r="G317" t="s">
        <v>167</v>
      </c>
      <c r="J317" t="s">
        <v>169</v>
      </c>
      <c r="N317" t="str">
        <f t="shared" si="4"/>
        <v>FP</v>
      </c>
    </row>
    <row r="318" spans="1:14" x14ac:dyDescent="0.2">
      <c r="A318">
        <v>2049076</v>
      </c>
      <c r="B318">
        <v>2</v>
      </c>
      <c r="C318" t="s">
        <v>1466</v>
      </c>
      <c r="J318" t="s">
        <v>169</v>
      </c>
      <c r="N318" t="str">
        <f t="shared" si="4"/>
        <v/>
      </c>
    </row>
    <row r="319" spans="1:14" x14ac:dyDescent="0.2">
      <c r="A319">
        <v>2049076</v>
      </c>
      <c r="B319">
        <v>3</v>
      </c>
      <c r="C319" t="s">
        <v>1467</v>
      </c>
      <c r="J319" t="s">
        <v>169</v>
      </c>
      <c r="N319" t="str">
        <f t="shared" si="4"/>
        <v/>
      </c>
    </row>
    <row r="320" spans="1:14" x14ac:dyDescent="0.2">
      <c r="A320">
        <v>2049076</v>
      </c>
      <c r="B320">
        <v>4</v>
      </c>
      <c r="C320" t="s">
        <v>1468</v>
      </c>
      <c r="J320" t="s">
        <v>169</v>
      </c>
      <c r="N320" t="str">
        <f t="shared" si="4"/>
        <v/>
      </c>
    </row>
    <row r="321" spans="1:15" x14ac:dyDescent="0.2">
      <c r="A321">
        <v>2049076</v>
      </c>
      <c r="B321">
        <v>5</v>
      </c>
      <c r="C321" t="s">
        <v>1469</v>
      </c>
      <c r="J321" t="s">
        <v>169</v>
      </c>
      <c r="N321" t="str">
        <f t="shared" si="4"/>
        <v/>
      </c>
    </row>
    <row r="322" spans="1:15" x14ac:dyDescent="0.2">
      <c r="A322">
        <v>2049076</v>
      </c>
      <c r="B322">
        <v>6</v>
      </c>
      <c r="C322" t="s">
        <v>1470</v>
      </c>
      <c r="D322" t="s">
        <v>1471</v>
      </c>
      <c r="F322" t="s">
        <v>38</v>
      </c>
      <c r="N322" t="str">
        <f t="shared" si="4"/>
        <v/>
      </c>
    </row>
    <row r="323" spans="1:15" x14ac:dyDescent="0.2">
      <c r="A323">
        <v>2049076</v>
      </c>
      <c r="B323">
        <v>7</v>
      </c>
      <c r="C323" t="s">
        <v>1472</v>
      </c>
      <c r="J323" t="s">
        <v>169</v>
      </c>
      <c r="N323" t="str">
        <f t="shared" ref="N323:N386" si="5">IF(OR(E323="FP",G323="FP"),"FP",IF(AND(E323="TP",E323="TP"),"TP",""))</f>
        <v/>
      </c>
    </row>
    <row r="324" spans="1:15" x14ac:dyDescent="0.2">
      <c r="A324">
        <v>2049076</v>
      </c>
      <c r="B324">
        <v>8</v>
      </c>
      <c r="C324" t="s">
        <v>1473</v>
      </c>
      <c r="D324" t="s">
        <v>1471</v>
      </c>
      <c r="F324" t="s">
        <v>38</v>
      </c>
      <c r="N324" t="str">
        <f t="shared" si="5"/>
        <v/>
      </c>
    </row>
    <row r="325" spans="1:15" x14ac:dyDescent="0.2">
      <c r="A325">
        <v>2049076</v>
      </c>
      <c r="B325">
        <v>9</v>
      </c>
      <c r="C325" t="s">
        <v>1474</v>
      </c>
      <c r="J325" t="s">
        <v>169</v>
      </c>
      <c r="N325" t="str">
        <f t="shared" si="5"/>
        <v/>
      </c>
    </row>
    <row r="326" spans="1:15" x14ac:dyDescent="0.2">
      <c r="A326">
        <v>2049076</v>
      </c>
      <c r="B326">
        <v>10</v>
      </c>
      <c r="C326" t="s">
        <v>1475</v>
      </c>
      <c r="D326" t="s">
        <v>1476</v>
      </c>
      <c r="F326" t="s">
        <v>38</v>
      </c>
      <c r="N326" t="str">
        <f t="shared" si="5"/>
        <v/>
      </c>
    </row>
    <row r="327" spans="1:15" x14ac:dyDescent="0.2">
      <c r="A327">
        <v>2049076</v>
      </c>
      <c r="B327">
        <v>11</v>
      </c>
      <c r="C327" t="s">
        <v>1477</v>
      </c>
      <c r="D327" t="s">
        <v>1281</v>
      </c>
      <c r="F327" t="s">
        <v>38</v>
      </c>
      <c r="N327" t="str">
        <f t="shared" si="5"/>
        <v/>
      </c>
    </row>
    <row r="328" spans="1:15" x14ac:dyDescent="0.2">
      <c r="A328">
        <v>2049076</v>
      </c>
      <c r="B328">
        <v>11</v>
      </c>
      <c r="C328" t="s">
        <v>1477</v>
      </c>
      <c r="D328" t="s">
        <v>1291</v>
      </c>
      <c r="F328" t="s">
        <v>38</v>
      </c>
      <c r="N328" t="str">
        <f t="shared" si="5"/>
        <v/>
      </c>
    </row>
    <row r="329" spans="1:15" x14ac:dyDescent="0.2">
      <c r="A329">
        <v>2049076</v>
      </c>
      <c r="B329">
        <v>12</v>
      </c>
      <c r="C329" t="s">
        <v>1478</v>
      </c>
      <c r="D329" t="s">
        <v>1801</v>
      </c>
      <c r="E329" t="s">
        <v>146</v>
      </c>
      <c r="F329" t="s">
        <v>61</v>
      </c>
      <c r="G329" t="s">
        <v>146</v>
      </c>
      <c r="M329" t="s">
        <v>1482</v>
      </c>
      <c r="N329" t="str">
        <f t="shared" si="5"/>
        <v>TP</v>
      </c>
      <c r="O329" t="s">
        <v>1975</v>
      </c>
    </row>
    <row r="330" spans="1:15" x14ac:dyDescent="0.2">
      <c r="A330">
        <v>2049076</v>
      </c>
      <c r="B330">
        <v>13</v>
      </c>
      <c r="C330" t="s">
        <v>1479</v>
      </c>
      <c r="D330" t="s">
        <v>1480</v>
      </c>
      <c r="F330" t="s">
        <v>38</v>
      </c>
      <c r="N330" t="str">
        <f t="shared" si="5"/>
        <v/>
      </c>
    </row>
    <row r="331" spans="1:15" x14ac:dyDescent="0.2">
      <c r="A331">
        <v>2049076</v>
      </c>
      <c r="B331">
        <v>13</v>
      </c>
      <c r="C331" t="s">
        <v>1479</v>
      </c>
      <c r="D331" t="s">
        <v>682</v>
      </c>
      <c r="F331" t="s">
        <v>38</v>
      </c>
      <c r="N331" t="str">
        <f t="shared" si="5"/>
        <v/>
      </c>
    </row>
    <row r="332" spans="1:15" x14ac:dyDescent="0.2">
      <c r="A332">
        <v>2049076</v>
      </c>
      <c r="B332">
        <v>13</v>
      </c>
      <c r="C332" t="s">
        <v>1479</v>
      </c>
      <c r="D332" t="s">
        <v>1481</v>
      </c>
      <c r="E332" t="s">
        <v>146</v>
      </c>
      <c r="F332" t="s">
        <v>61</v>
      </c>
      <c r="G332" t="s">
        <v>146</v>
      </c>
      <c r="H332" t="s">
        <v>117</v>
      </c>
      <c r="I332" t="s">
        <v>118</v>
      </c>
      <c r="J332" t="s">
        <v>8</v>
      </c>
      <c r="M332" t="s">
        <v>1802</v>
      </c>
      <c r="N332" t="str">
        <f t="shared" si="5"/>
        <v>TP</v>
      </c>
      <c r="O332" t="s">
        <v>1979</v>
      </c>
    </row>
    <row r="333" spans="1:15" x14ac:dyDescent="0.2">
      <c r="A333">
        <v>2049076</v>
      </c>
      <c r="B333">
        <v>13</v>
      </c>
      <c r="C333" t="s">
        <v>1479</v>
      </c>
      <c r="D333" t="s">
        <v>1482</v>
      </c>
      <c r="E333" t="s">
        <v>146</v>
      </c>
      <c r="F333" t="s">
        <v>61</v>
      </c>
      <c r="G333" t="s">
        <v>146</v>
      </c>
      <c r="N333" t="str">
        <f t="shared" si="5"/>
        <v>TP</v>
      </c>
    </row>
    <row r="334" spans="1:15" x14ac:dyDescent="0.2">
      <c r="A334">
        <v>2049076</v>
      </c>
      <c r="B334">
        <v>14</v>
      </c>
      <c r="C334" t="s">
        <v>1483</v>
      </c>
      <c r="J334" t="s">
        <v>169</v>
      </c>
      <c r="N334" t="str">
        <f t="shared" si="5"/>
        <v/>
      </c>
    </row>
    <row r="335" spans="1:15" x14ac:dyDescent="0.2">
      <c r="A335">
        <v>2049076</v>
      </c>
      <c r="B335">
        <v>15</v>
      </c>
      <c r="C335" t="s">
        <v>1484</v>
      </c>
      <c r="J335" t="s">
        <v>169</v>
      </c>
      <c r="N335" t="str">
        <f t="shared" si="5"/>
        <v/>
      </c>
    </row>
    <row r="336" spans="1:15" x14ac:dyDescent="0.2">
      <c r="A336">
        <v>2059624</v>
      </c>
      <c r="B336">
        <v>0</v>
      </c>
      <c r="C336" t="s">
        <v>1485</v>
      </c>
      <c r="D336" t="s">
        <v>1486</v>
      </c>
      <c r="F336" t="s">
        <v>38</v>
      </c>
      <c r="J336" t="s">
        <v>10</v>
      </c>
      <c r="N336" t="str">
        <f t="shared" si="5"/>
        <v/>
      </c>
    </row>
    <row r="337" spans="1:14" x14ac:dyDescent="0.2">
      <c r="A337">
        <v>2059624</v>
      </c>
      <c r="B337">
        <v>1</v>
      </c>
      <c r="C337" t="s">
        <v>1487</v>
      </c>
      <c r="D337" t="s">
        <v>558</v>
      </c>
      <c r="F337" t="s">
        <v>38</v>
      </c>
      <c r="N337" t="str">
        <f t="shared" si="5"/>
        <v/>
      </c>
    </row>
    <row r="338" spans="1:14" x14ac:dyDescent="0.2">
      <c r="A338">
        <v>2059624</v>
      </c>
      <c r="B338">
        <v>2</v>
      </c>
      <c r="C338" t="s">
        <v>1488</v>
      </c>
      <c r="D338" t="s">
        <v>1489</v>
      </c>
      <c r="F338" t="s">
        <v>38</v>
      </c>
      <c r="N338" t="str">
        <f t="shared" si="5"/>
        <v/>
      </c>
    </row>
    <row r="339" spans="1:14" x14ac:dyDescent="0.2">
      <c r="A339">
        <v>2059624</v>
      </c>
      <c r="B339">
        <v>3</v>
      </c>
      <c r="C339" t="s">
        <v>1490</v>
      </c>
      <c r="J339" t="s">
        <v>169</v>
      </c>
      <c r="N339" t="str">
        <f t="shared" si="5"/>
        <v/>
      </c>
    </row>
    <row r="340" spans="1:14" x14ac:dyDescent="0.2">
      <c r="A340">
        <v>2059624</v>
      </c>
      <c r="B340">
        <v>4</v>
      </c>
      <c r="C340" t="s">
        <v>1491</v>
      </c>
      <c r="D340" t="s">
        <v>558</v>
      </c>
      <c r="F340" t="s">
        <v>38</v>
      </c>
      <c r="N340" t="str">
        <f t="shared" si="5"/>
        <v/>
      </c>
    </row>
    <row r="341" spans="1:14" x14ac:dyDescent="0.2">
      <c r="A341">
        <v>2059624</v>
      </c>
      <c r="B341">
        <v>4</v>
      </c>
      <c r="C341" t="s">
        <v>1491</v>
      </c>
      <c r="D341" t="s">
        <v>1492</v>
      </c>
      <c r="E341" t="s">
        <v>146</v>
      </c>
      <c r="F341" t="s">
        <v>44</v>
      </c>
      <c r="G341" t="s">
        <v>146</v>
      </c>
      <c r="H341" t="s">
        <v>1294</v>
      </c>
      <c r="I341" t="s">
        <v>1295</v>
      </c>
      <c r="J341" t="s">
        <v>8</v>
      </c>
      <c r="N341" t="str">
        <f t="shared" si="5"/>
        <v>TP</v>
      </c>
    </row>
    <row r="342" spans="1:14" x14ac:dyDescent="0.2">
      <c r="A342">
        <v>2059624</v>
      </c>
      <c r="B342">
        <v>4</v>
      </c>
      <c r="C342" t="s">
        <v>1491</v>
      </c>
      <c r="D342" t="s">
        <v>548</v>
      </c>
      <c r="E342" t="s">
        <v>146</v>
      </c>
      <c r="F342" t="s">
        <v>61</v>
      </c>
      <c r="G342" t="s">
        <v>146</v>
      </c>
      <c r="N342" t="str">
        <f t="shared" si="5"/>
        <v>TP</v>
      </c>
    </row>
    <row r="343" spans="1:14" x14ac:dyDescent="0.2">
      <c r="A343">
        <v>2059624</v>
      </c>
      <c r="B343">
        <v>5</v>
      </c>
      <c r="C343" t="s">
        <v>1493</v>
      </c>
      <c r="D343" t="s">
        <v>558</v>
      </c>
      <c r="F343" t="s">
        <v>38</v>
      </c>
      <c r="N343" t="str">
        <f t="shared" si="5"/>
        <v/>
      </c>
    </row>
    <row r="344" spans="1:14" x14ac:dyDescent="0.2">
      <c r="A344">
        <v>2059624</v>
      </c>
      <c r="B344">
        <v>5</v>
      </c>
      <c r="C344" t="s">
        <v>1493</v>
      </c>
      <c r="D344" t="s">
        <v>1494</v>
      </c>
      <c r="E344" t="s">
        <v>146</v>
      </c>
      <c r="F344" t="s">
        <v>44</v>
      </c>
      <c r="G344" t="s">
        <v>146</v>
      </c>
      <c r="J344" t="s">
        <v>10</v>
      </c>
      <c r="K344" t="s">
        <v>159</v>
      </c>
      <c r="N344" t="str">
        <f t="shared" si="5"/>
        <v>TP</v>
      </c>
    </row>
    <row r="345" spans="1:14" x14ac:dyDescent="0.2">
      <c r="A345">
        <v>2059624</v>
      </c>
      <c r="B345">
        <v>5</v>
      </c>
      <c r="C345" t="s">
        <v>1493</v>
      </c>
      <c r="D345" t="s">
        <v>1495</v>
      </c>
      <c r="E345" t="s">
        <v>146</v>
      </c>
      <c r="F345" t="s">
        <v>44</v>
      </c>
      <c r="G345" t="s">
        <v>146</v>
      </c>
      <c r="H345" t="s">
        <v>1204</v>
      </c>
      <c r="I345" t="s">
        <v>1205</v>
      </c>
      <c r="J345" t="s">
        <v>8</v>
      </c>
      <c r="K345" t="s">
        <v>159</v>
      </c>
      <c r="N345" t="str">
        <f t="shared" si="5"/>
        <v>TP</v>
      </c>
    </row>
    <row r="346" spans="1:14" x14ac:dyDescent="0.2">
      <c r="A346">
        <v>2059624</v>
      </c>
      <c r="B346">
        <v>5</v>
      </c>
      <c r="C346" t="s">
        <v>1493</v>
      </c>
      <c r="D346" t="s">
        <v>1496</v>
      </c>
      <c r="E346" t="s">
        <v>146</v>
      </c>
      <c r="F346" t="s">
        <v>44</v>
      </c>
      <c r="G346" t="s">
        <v>146</v>
      </c>
      <c r="H346" t="s">
        <v>1408</v>
      </c>
      <c r="I346" t="s">
        <v>1409</v>
      </c>
      <c r="J346" t="s">
        <v>8</v>
      </c>
      <c r="K346" t="s">
        <v>159</v>
      </c>
      <c r="N346" t="str">
        <f t="shared" si="5"/>
        <v>TP</v>
      </c>
    </row>
    <row r="347" spans="1:14" x14ac:dyDescent="0.2">
      <c r="A347">
        <v>2059624</v>
      </c>
      <c r="B347">
        <v>6</v>
      </c>
      <c r="C347" t="s">
        <v>1497</v>
      </c>
      <c r="D347" t="s">
        <v>1498</v>
      </c>
      <c r="F347" t="s">
        <v>38</v>
      </c>
      <c r="N347" t="str">
        <f t="shared" si="5"/>
        <v/>
      </c>
    </row>
    <row r="348" spans="1:14" x14ac:dyDescent="0.2">
      <c r="A348">
        <v>2059624</v>
      </c>
      <c r="B348">
        <v>6</v>
      </c>
      <c r="C348" t="s">
        <v>1497</v>
      </c>
      <c r="D348" t="s">
        <v>558</v>
      </c>
      <c r="F348" t="s">
        <v>38</v>
      </c>
      <c r="N348" t="str">
        <f t="shared" si="5"/>
        <v/>
      </c>
    </row>
    <row r="349" spans="1:14" x14ac:dyDescent="0.2">
      <c r="A349">
        <v>2059624</v>
      </c>
      <c r="B349">
        <v>6</v>
      </c>
      <c r="C349" t="s">
        <v>1497</v>
      </c>
      <c r="D349" t="s">
        <v>1281</v>
      </c>
      <c r="F349" t="s">
        <v>38</v>
      </c>
      <c r="N349" t="str">
        <f t="shared" si="5"/>
        <v/>
      </c>
    </row>
    <row r="350" spans="1:14" x14ac:dyDescent="0.2">
      <c r="A350">
        <v>2059624</v>
      </c>
      <c r="B350">
        <v>6</v>
      </c>
      <c r="C350" t="s">
        <v>1497</v>
      </c>
      <c r="D350" t="s">
        <v>1492</v>
      </c>
      <c r="E350" t="s">
        <v>146</v>
      </c>
      <c r="F350" t="s">
        <v>44</v>
      </c>
      <c r="G350" t="s">
        <v>146</v>
      </c>
      <c r="H350" t="s">
        <v>1294</v>
      </c>
      <c r="I350" t="s">
        <v>1295</v>
      </c>
      <c r="J350" t="s">
        <v>8</v>
      </c>
      <c r="N350" t="str">
        <f t="shared" si="5"/>
        <v>TP</v>
      </c>
    </row>
    <row r="351" spans="1:14" x14ac:dyDescent="0.2">
      <c r="A351">
        <v>2059624</v>
      </c>
      <c r="B351">
        <v>7</v>
      </c>
      <c r="C351" t="s">
        <v>1499</v>
      </c>
      <c r="D351" t="s">
        <v>592</v>
      </c>
      <c r="F351" t="s">
        <v>38</v>
      </c>
      <c r="N351" t="str">
        <f t="shared" si="5"/>
        <v/>
      </c>
    </row>
    <row r="352" spans="1:14" x14ac:dyDescent="0.2">
      <c r="A352">
        <v>2059624</v>
      </c>
      <c r="B352">
        <v>8</v>
      </c>
      <c r="C352" t="s">
        <v>1500</v>
      </c>
      <c r="D352" t="s">
        <v>1498</v>
      </c>
      <c r="F352" t="s">
        <v>38</v>
      </c>
      <c r="N352" t="str">
        <f t="shared" si="5"/>
        <v/>
      </c>
    </row>
    <row r="353" spans="1:14" x14ac:dyDescent="0.2">
      <c r="A353">
        <v>2059624</v>
      </c>
      <c r="B353">
        <v>9</v>
      </c>
      <c r="C353" t="s">
        <v>1501</v>
      </c>
      <c r="D353" t="s">
        <v>1502</v>
      </c>
      <c r="F353" t="s">
        <v>38</v>
      </c>
      <c r="N353" t="str">
        <f t="shared" si="5"/>
        <v/>
      </c>
    </row>
    <row r="354" spans="1:14" x14ac:dyDescent="0.2">
      <c r="A354">
        <v>2065054</v>
      </c>
      <c r="B354">
        <v>0</v>
      </c>
      <c r="C354" t="s">
        <v>586</v>
      </c>
      <c r="D354" t="s">
        <v>587</v>
      </c>
      <c r="F354" t="s">
        <v>38</v>
      </c>
      <c r="N354" t="str">
        <f t="shared" si="5"/>
        <v/>
      </c>
    </row>
    <row r="355" spans="1:14" x14ac:dyDescent="0.2">
      <c r="A355">
        <v>2065054</v>
      </c>
      <c r="B355">
        <v>1</v>
      </c>
      <c r="C355" t="s">
        <v>588</v>
      </c>
      <c r="J355" t="s">
        <v>169</v>
      </c>
      <c r="N355" t="str">
        <f t="shared" si="5"/>
        <v/>
      </c>
    </row>
    <row r="356" spans="1:14" x14ac:dyDescent="0.2">
      <c r="A356">
        <v>2065054</v>
      </c>
      <c r="B356">
        <v>2</v>
      </c>
      <c r="C356" t="s">
        <v>589</v>
      </c>
      <c r="J356" t="s">
        <v>169</v>
      </c>
      <c r="N356" t="str">
        <f t="shared" si="5"/>
        <v/>
      </c>
    </row>
    <row r="357" spans="1:14" x14ac:dyDescent="0.2">
      <c r="A357">
        <v>2065054</v>
      </c>
      <c r="B357">
        <v>3</v>
      </c>
      <c r="C357" t="s">
        <v>590</v>
      </c>
      <c r="J357" t="s">
        <v>169</v>
      </c>
      <c r="N357" t="str">
        <f t="shared" si="5"/>
        <v/>
      </c>
    </row>
    <row r="358" spans="1:14" x14ac:dyDescent="0.2">
      <c r="A358">
        <v>2065054</v>
      </c>
      <c r="B358">
        <v>4</v>
      </c>
      <c r="C358" t="s">
        <v>591</v>
      </c>
      <c r="D358" t="s">
        <v>592</v>
      </c>
      <c r="F358" t="s">
        <v>38</v>
      </c>
      <c r="N358" t="str">
        <f t="shared" si="5"/>
        <v/>
      </c>
    </row>
    <row r="359" spans="1:14" x14ac:dyDescent="0.2">
      <c r="A359">
        <v>2065054</v>
      </c>
      <c r="B359">
        <v>5</v>
      </c>
      <c r="C359" t="s">
        <v>593</v>
      </c>
      <c r="D359" t="s">
        <v>594</v>
      </c>
      <c r="F359" t="s">
        <v>38</v>
      </c>
      <c r="N359" t="str">
        <f t="shared" si="5"/>
        <v/>
      </c>
    </row>
    <row r="360" spans="1:14" x14ac:dyDescent="0.2">
      <c r="A360">
        <v>2065054</v>
      </c>
      <c r="B360">
        <v>5</v>
      </c>
      <c r="C360" t="s">
        <v>593</v>
      </c>
      <c r="D360" t="s">
        <v>558</v>
      </c>
      <c r="F360" t="s">
        <v>38</v>
      </c>
      <c r="N360" t="str">
        <f t="shared" si="5"/>
        <v/>
      </c>
    </row>
    <row r="361" spans="1:14" x14ac:dyDescent="0.2">
      <c r="A361">
        <v>2065054</v>
      </c>
      <c r="B361">
        <v>6</v>
      </c>
      <c r="C361" t="s">
        <v>595</v>
      </c>
      <c r="D361" t="s">
        <v>596</v>
      </c>
      <c r="F361" t="s">
        <v>38</v>
      </c>
      <c r="N361" t="str">
        <f t="shared" si="5"/>
        <v/>
      </c>
    </row>
    <row r="362" spans="1:14" x14ac:dyDescent="0.2">
      <c r="A362">
        <v>2065054</v>
      </c>
      <c r="B362">
        <v>6</v>
      </c>
      <c r="C362" t="s">
        <v>595</v>
      </c>
      <c r="D362" t="s">
        <v>597</v>
      </c>
      <c r="F362" t="s">
        <v>38</v>
      </c>
      <c r="N362" t="str">
        <f t="shared" si="5"/>
        <v/>
      </c>
    </row>
    <row r="363" spans="1:14" x14ac:dyDescent="0.2">
      <c r="A363">
        <v>2065054</v>
      </c>
      <c r="B363">
        <v>6</v>
      </c>
      <c r="C363" t="s">
        <v>595</v>
      </c>
      <c r="D363" t="s">
        <v>598</v>
      </c>
      <c r="E363" t="s">
        <v>146</v>
      </c>
      <c r="F363" t="s">
        <v>44</v>
      </c>
      <c r="G363" t="s">
        <v>146</v>
      </c>
      <c r="H363" t="s">
        <v>1397</v>
      </c>
      <c r="I363" t="s">
        <v>1398</v>
      </c>
      <c r="J363" t="s">
        <v>8</v>
      </c>
      <c r="N363" t="str">
        <f t="shared" si="5"/>
        <v>TP</v>
      </c>
    </row>
    <row r="364" spans="1:14" x14ac:dyDescent="0.2">
      <c r="A364">
        <v>2065054</v>
      </c>
      <c r="B364">
        <v>6</v>
      </c>
      <c r="C364" t="s">
        <v>595</v>
      </c>
      <c r="D364" t="s">
        <v>599</v>
      </c>
      <c r="E364" t="s">
        <v>146</v>
      </c>
      <c r="F364" t="s">
        <v>44</v>
      </c>
      <c r="G364" t="s">
        <v>146</v>
      </c>
      <c r="H364" t="s">
        <v>1503</v>
      </c>
      <c r="I364" t="s">
        <v>1504</v>
      </c>
      <c r="J364" t="s">
        <v>8</v>
      </c>
      <c r="N364" t="str">
        <f t="shared" si="5"/>
        <v>TP</v>
      </c>
    </row>
    <row r="365" spans="1:14" x14ac:dyDescent="0.2">
      <c r="A365">
        <v>2065054</v>
      </c>
      <c r="B365">
        <v>6</v>
      </c>
      <c r="C365" t="s">
        <v>595</v>
      </c>
      <c r="D365" t="s">
        <v>600</v>
      </c>
      <c r="E365" t="s">
        <v>146</v>
      </c>
      <c r="F365" t="s">
        <v>44</v>
      </c>
      <c r="G365" t="s">
        <v>146</v>
      </c>
      <c r="H365" t="s">
        <v>1505</v>
      </c>
      <c r="I365" t="s">
        <v>1506</v>
      </c>
      <c r="J365" t="s">
        <v>8</v>
      </c>
      <c r="N365" t="str">
        <f t="shared" si="5"/>
        <v>TP</v>
      </c>
    </row>
    <row r="366" spans="1:14" x14ac:dyDescent="0.2">
      <c r="A366">
        <v>2065054</v>
      </c>
      <c r="B366">
        <v>6</v>
      </c>
      <c r="C366" t="s">
        <v>595</v>
      </c>
      <c r="D366" t="s">
        <v>601</v>
      </c>
      <c r="F366" t="s">
        <v>38</v>
      </c>
      <c r="N366" t="str">
        <f t="shared" si="5"/>
        <v/>
      </c>
    </row>
    <row r="367" spans="1:14" x14ac:dyDescent="0.2">
      <c r="A367">
        <v>2065054</v>
      </c>
      <c r="B367">
        <v>6</v>
      </c>
      <c r="C367" t="s">
        <v>595</v>
      </c>
      <c r="D367" t="s">
        <v>602</v>
      </c>
      <c r="E367" t="s">
        <v>146</v>
      </c>
      <c r="F367" t="s">
        <v>44</v>
      </c>
      <c r="G367" t="s">
        <v>146</v>
      </c>
      <c r="J367" t="s">
        <v>10</v>
      </c>
      <c r="N367" t="str">
        <f t="shared" si="5"/>
        <v>TP</v>
      </c>
    </row>
    <row r="368" spans="1:14" x14ac:dyDescent="0.2">
      <c r="A368">
        <v>2065054</v>
      </c>
      <c r="B368">
        <v>7</v>
      </c>
      <c r="C368" t="s">
        <v>603</v>
      </c>
      <c r="D368" t="s">
        <v>604</v>
      </c>
      <c r="E368" t="s">
        <v>146</v>
      </c>
      <c r="F368" t="s">
        <v>605</v>
      </c>
      <c r="G368" t="s">
        <v>146</v>
      </c>
      <c r="N368" t="str">
        <f t="shared" si="5"/>
        <v>TP</v>
      </c>
    </row>
    <row r="369" spans="1:14" x14ac:dyDescent="0.2">
      <c r="A369">
        <v>2065054</v>
      </c>
      <c r="B369">
        <v>7</v>
      </c>
      <c r="C369" t="s">
        <v>603</v>
      </c>
      <c r="D369" t="s">
        <v>606</v>
      </c>
      <c r="E369" t="s">
        <v>146</v>
      </c>
      <c r="F369" t="s">
        <v>605</v>
      </c>
      <c r="G369" t="s">
        <v>146</v>
      </c>
      <c r="N369" t="str">
        <f t="shared" si="5"/>
        <v>TP</v>
      </c>
    </row>
    <row r="370" spans="1:14" x14ac:dyDescent="0.2">
      <c r="A370">
        <v>2065054</v>
      </c>
      <c r="B370">
        <v>7</v>
      </c>
      <c r="C370" t="s">
        <v>603</v>
      </c>
      <c r="D370" t="s">
        <v>607</v>
      </c>
      <c r="E370" t="s">
        <v>146</v>
      </c>
      <c r="F370" t="s">
        <v>605</v>
      </c>
      <c r="G370" t="s">
        <v>146</v>
      </c>
      <c r="N370" t="str">
        <f t="shared" si="5"/>
        <v>TP</v>
      </c>
    </row>
    <row r="371" spans="1:14" x14ac:dyDescent="0.2">
      <c r="A371">
        <v>10024660</v>
      </c>
      <c r="B371">
        <v>0</v>
      </c>
      <c r="C371" t="s">
        <v>1507</v>
      </c>
      <c r="D371" t="s">
        <v>596</v>
      </c>
      <c r="F371" t="s">
        <v>38</v>
      </c>
      <c r="N371" t="str">
        <f t="shared" si="5"/>
        <v/>
      </c>
    </row>
    <row r="372" spans="1:14" x14ac:dyDescent="0.2">
      <c r="A372">
        <v>10024660</v>
      </c>
      <c r="B372">
        <v>1</v>
      </c>
      <c r="C372" t="s">
        <v>1508</v>
      </c>
      <c r="D372" t="s">
        <v>1509</v>
      </c>
      <c r="F372" t="s">
        <v>38</v>
      </c>
      <c r="N372" t="str">
        <f t="shared" si="5"/>
        <v/>
      </c>
    </row>
    <row r="373" spans="1:14" x14ac:dyDescent="0.2">
      <c r="A373">
        <v>10024660</v>
      </c>
      <c r="B373">
        <v>2</v>
      </c>
      <c r="C373" t="s">
        <v>1510</v>
      </c>
      <c r="D373" t="s">
        <v>1511</v>
      </c>
      <c r="F373" t="s">
        <v>38</v>
      </c>
      <c r="N373" t="str">
        <f t="shared" si="5"/>
        <v/>
      </c>
    </row>
    <row r="374" spans="1:14" x14ac:dyDescent="0.2">
      <c r="A374">
        <v>10024660</v>
      </c>
      <c r="B374">
        <v>3</v>
      </c>
      <c r="C374" t="s">
        <v>1512</v>
      </c>
      <c r="D374" t="s">
        <v>1281</v>
      </c>
      <c r="F374" t="s">
        <v>38</v>
      </c>
      <c r="N374" t="str">
        <f t="shared" si="5"/>
        <v/>
      </c>
    </row>
    <row r="375" spans="1:14" x14ac:dyDescent="0.2">
      <c r="A375">
        <v>10024660</v>
      </c>
      <c r="B375">
        <v>3</v>
      </c>
      <c r="C375" t="s">
        <v>1512</v>
      </c>
      <c r="D375" t="s">
        <v>1513</v>
      </c>
      <c r="E375" t="s">
        <v>146</v>
      </c>
      <c r="F375" t="s">
        <v>44</v>
      </c>
      <c r="G375" t="s">
        <v>146</v>
      </c>
      <c r="H375" t="s">
        <v>1514</v>
      </c>
      <c r="I375" t="s">
        <v>1515</v>
      </c>
      <c r="J375" t="s">
        <v>8</v>
      </c>
      <c r="N375" t="str">
        <f t="shared" si="5"/>
        <v>TP</v>
      </c>
    </row>
    <row r="376" spans="1:14" x14ac:dyDescent="0.2">
      <c r="A376">
        <v>10024660</v>
      </c>
      <c r="B376">
        <v>4</v>
      </c>
      <c r="C376" t="s">
        <v>1516</v>
      </c>
      <c r="D376" t="s">
        <v>1509</v>
      </c>
      <c r="F376" t="s">
        <v>38</v>
      </c>
      <c r="N376" t="str">
        <f t="shared" si="5"/>
        <v/>
      </c>
    </row>
    <row r="377" spans="1:14" x14ac:dyDescent="0.2">
      <c r="A377">
        <v>10024660</v>
      </c>
      <c r="B377">
        <v>5</v>
      </c>
      <c r="C377" t="s">
        <v>1517</v>
      </c>
      <c r="D377" t="s">
        <v>1511</v>
      </c>
      <c r="F377" t="s">
        <v>38</v>
      </c>
      <c r="N377" t="str">
        <f t="shared" si="5"/>
        <v/>
      </c>
    </row>
    <row r="378" spans="1:14" x14ac:dyDescent="0.2">
      <c r="A378">
        <v>10024660</v>
      </c>
      <c r="B378">
        <v>5</v>
      </c>
      <c r="C378" t="s">
        <v>1517</v>
      </c>
      <c r="D378" t="s">
        <v>1518</v>
      </c>
      <c r="E378" t="s">
        <v>146</v>
      </c>
      <c r="F378" t="s">
        <v>44</v>
      </c>
      <c r="G378" t="s">
        <v>146</v>
      </c>
      <c r="J378" t="s">
        <v>10</v>
      </c>
      <c r="N378" t="str">
        <f t="shared" si="5"/>
        <v>TP</v>
      </c>
    </row>
    <row r="379" spans="1:14" x14ac:dyDescent="0.2">
      <c r="A379">
        <v>10024660</v>
      </c>
      <c r="B379">
        <v>5</v>
      </c>
      <c r="C379" t="s">
        <v>1517</v>
      </c>
      <c r="D379" t="s">
        <v>1519</v>
      </c>
      <c r="E379" t="s">
        <v>146</v>
      </c>
      <c r="F379" t="s">
        <v>44</v>
      </c>
      <c r="G379" t="s">
        <v>146</v>
      </c>
      <c r="J379" t="s">
        <v>10</v>
      </c>
      <c r="N379" t="str">
        <f t="shared" si="5"/>
        <v>TP</v>
      </c>
    </row>
    <row r="380" spans="1:14" x14ac:dyDescent="0.2">
      <c r="A380">
        <v>10024660</v>
      </c>
      <c r="B380">
        <v>5</v>
      </c>
      <c r="C380" t="s">
        <v>1517</v>
      </c>
      <c r="D380" t="s">
        <v>1520</v>
      </c>
      <c r="E380" t="s">
        <v>146</v>
      </c>
      <c r="F380" t="s">
        <v>44</v>
      </c>
      <c r="G380" t="s">
        <v>146</v>
      </c>
      <c r="J380" t="s">
        <v>10</v>
      </c>
      <c r="N380" t="str">
        <f t="shared" si="5"/>
        <v>TP</v>
      </c>
    </row>
    <row r="381" spans="1:14" x14ac:dyDescent="0.2">
      <c r="A381">
        <v>10024660</v>
      </c>
      <c r="B381">
        <v>5</v>
      </c>
      <c r="C381" t="s">
        <v>1517</v>
      </c>
      <c r="D381" t="s">
        <v>1521</v>
      </c>
      <c r="E381" t="s">
        <v>146</v>
      </c>
      <c r="F381" t="s">
        <v>44</v>
      </c>
      <c r="G381" t="s">
        <v>146</v>
      </c>
      <c r="J381" t="s">
        <v>10</v>
      </c>
      <c r="N381" t="str">
        <f t="shared" si="5"/>
        <v>TP</v>
      </c>
    </row>
    <row r="382" spans="1:14" x14ac:dyDescent="0.2">
      <c r="A382">
        <v>10029548</v>
      </c>
      <c r="B382">
        <v>0</v>
      </c>
      <c r="C382" t="s">
        <v>1522</v>
      </c>
      <c r="J382" t="s">
        <v>169</v>
      </c>
      <c r="N382" t="str">
        <f t="shared" si="5"/>
        <v/>
      </c>
    </row>
    <row r="383" spans="1:14" x14ac:dyDescent="0.2">
      <c r="A383">
        <v>10029548</v>
      </c>
      <c r="B383">
        <v>1</v>
      </c>
      <c r="C383" t="s">
        <v>1523</v>
      </c>
      <c r="J383" t="s">
        <v>169</v>
      </c>
      <c r="N383" t="str">
        <f t="shared" si="5"/>
        <v/>
      </c>
    </row>
    <row r="384" spans="1:14" x14ac:dyDescent="0.2">
      <c r="A384">
        <v>10029548</v>
      </c>
      <c r="B384">
        <v>2</v>
      </c>
      <c r="C384" t="s">
        <v>1524</v>
      </c>
      <c r="J384" t="s">
        <v>169</v>
      </c>
      <c r="N384" t="str">
        <f t="shared" si="5"/>
        <v/>
      </c>
    </row>
    <row r="385" spans="1:14" x14ac:dyDescent="0.2">
      <c r="A385">
        <v>10029548</v>
      </c>
      <c r="B385">
        <v>3</v>
      </c>
      <c r="C385" t="s">
        <v>1525</v>
      </c>
      <c r="J385" t="s">
        <v>169</v>
      </c>
      <c r="N385" t="str">
        <f t="shared" si="5"/>
        <v/>
      </c>
    </row>
    <row r="386" spans="1:14" x14ac:dyDescent="0.2">
      <c r="A386">
        <v>10029548</v>
      </c>
      <c r="B386">
        <v>4</v>
      </c>
      <c r="C386" t="s">
        <v>1526</v>
      </c>
      <c r="J386" t="s">
        <v>169</v>
      </c>
      <c r="N386" t="str">
        <f t="shared" si="5"/>
        <v/>
      </c>
    </row>
    <row r="387" spans="1:14" x14ac:dyDescent="0.2">
      <c r="A387">
        <v>10029548</v>
      </c>
      <c r="B387">
        <v>5</v>
      </c>
      <c r="C387" t="s">
        <v>1527</v>
      </c>
      <c r="D387" t="s">
        <v>1528</v>
      </c>
      <c r="E387" t="s">
        <v>146</v>
      </c>
      <c r="F387" t="s">
        <v>61</v>
      </c>
      <c r="G387" t="s">
        <v>146</v>
      </c>
      <c r="N387" t="str">
        <f t="shared" ref="N387:N450" si="6">IF(OR(E387="FP",G387="FP"),"FP",IF(AND(E387="TP",E387="TP"),"TP",""))</f>
        <v>TP</v>
      </c>
    </row>
    <row r="388" spans="1:14" x14ac:dyDescent="0.2">
      <c r="A388">
        <v>10029548</v>
      </c>
      <c r="B388">
        <v>6</v>
      </c>
      <c r="C388" t="s">
        <v>1529</v>
      </c>
      <c r="D388" t="s">
        <v>1530</v>
      </c>
      <c r="F388" t="s">
        <v>38</v>
      </c>
      <c r="N388" t="str">
        <f t="shared" si="6"/>
        <v/>
      </c>
    </row>
    <row r="389" spans="1:14" x14ac:dyDescent="0.2">
      <c r="A389">
        <v>10029548</v>
      </c>
      <c r="B389">
        <v>7</v>
      </c>
      <c r="C389" t="s">
        <v>1531</v>
      </c>
      <c r="J389" t="s">
        <v>169</v>
      </c>
      <c r="N389" t="str">
        <f t="shared" si="6"/>
        <v/>
      </c>
    </row>
    <row r="390" spans="1:14" x14ac:dyDescent="0.2">
      <c r="A390">
        <v>10092871</v>
      </c>
      <c r="B390">
        <v>0</v>
      </c>
      <c r="C390" t="s">
        <v>1532</v>
      </c>
      <c r="D390" t="s">
        <v>1533</v>
      </c>
      <c r="F390" t="s">
        <v>38</v>
      </c>
      <c r="N390" t="str">
        <f t="shared" si="6"/>
        <v/>
      </c>
    </row>
    <row r="391" spans="1:14" x14ac:dyDescent="0.2">
      <c r="A391">
        <v>10092871</v>
      </c>
      <c r="B391">
        <v>1</v>
      </c>
      <c r="C391" t="s">
        <v>1534</v>
      </c>
      <c r="J391" t="s">
        <v>169</v>
      </c>
      <c r="N391" t="str">
        <f t="shared" si="6"/>
        <v/>
      </c>
    </row>
    <row r="392" spans="1:14" x14ac:dyDescent="0.2">
      <c r="A392">
        <v>10092871</v>
      </c>
      <c r="B392">
        <v>2</v>
      </c>
      <c r="C392" t="s">
        <v>1535</v>
      </c>
      <c r="J392" t="s">
        <v>169</v>
      </c>
      <c r="N392" t="str">
        <f t="shared" si="6"/>
        <v/>
      </c>
    </row>
    <row r="393" spans="1:14" x14ac:dyDescent="0.2">
      <c r="A393">
        <v>10092871</v>
      </c>
      <c r="B393">
        <v>4</v>
      </c>
      <c r="C393" t="s">
        <v>1536</v>
      </c>
      <c r="D393" t="s">
        <v>1419</v>
      </c>
      <c r="F393" t="s">
        <v>38</v>
      </c>
      <c r="N393" t="str">
        <f t="shared" si="6"/>
        <v/>
      </c>
    </row>
    <row r="394" spans="1:14" x14ac:dyDescent="0.2">
      <c r="A394">
        <v>10092871</v>
      </c>
      <c r="B394">
        <v>5</v>
      </c>
      <c r="C394" t="s">
        <v>1537</v>
      </c>
      <c r="D394" t="s">
        <v>558</v>
      </c>
      <c r="F394" t="s">
        <v>38</v>
      </c>
      <c r="N394" t="str">
        <f t="shared" si="6"/>
        <v/>
      </c>
    </row>
    <row r="395" spans="1:14" x14ac:dyDescent="0.2">
      <c r="A395">
        <v>10092871</v>
      </c>
      <c r="B395">
        <v>6</v>
      </c>
      <c r="C395" t="s">
        <v>1538</v>
      </c>
      <c r="D395" t="s">
        <v>1533</v>
      </c>
      <c r="F395" t="s">
        <v>38</v>
      </c>
      <c r="N395" t="str">
        <f t="shared" si="6"/>
        <v/>
      </c>
    </row>
    <row r="396" spans="1:14" x14ac:dyDescent="0.2">
      <c r="A396">
        <v>10092871</v>
      </c>
      <c r="B396">
        <v>7</v>
      </c>
      <c r="C396" t="s">
        <v>1539</v>
      </c>
      <c r="D396" t="s">
        <v>1540</v>
      </c>
      <c r="E396" t="s">
        <v>146</v>
      </c>
      <c r="F396" t="s">
        <v>44</v>
      </c>
      <c r="G396" t="s">
        <v>146</v>
      </c>
      <c r="J396" t="s">
        <v>10</v>
      </c>
      <c r="N396" t="str">
        <f t="shared" si="6"/>
        <v>TP</v>
      </c>
    </row>
    <row r="397" spans="1:14" x14ac:dyDescent="0.2">
      <c r="A397">
        <v>10092871</v>
      </c>
      <c r="B397">
        <v>8</v>
      </c>
      <c r="C397" t="s">
        <v>1541</v>
      </c>
      <c r="D397" t="s">
        <v>1411</v>
      </c>
      <c r="E397" t="s">
        <v>146</v>
      </c>
      <c r="F397" t="s">
        <v>44</v>
      </c>
      <c r="G397" t="s">
        <v>146</v>
      </c>
      <c r="H397" t="s">
        <v>1204</v>
      </c>
      <c r="I397" t="s">
        <v>1205</v>
      </c>
      <c r="J397" t="s">
        <v>8</v>
      </c>
      <c r="N397" t="str">
        <f t="shared" si="6"/>
        <v>TP</v>
      </c>
    </row>
    <row r="398" spans="1:14" x14ac:dyDescent="0.2">
      <c r="A398">
        <v>10092871</v>
      </c>
      <c r="B398">
        <v>8</v>
      </c>
      <c r="C398" t="s">
        <v>1541</v>
      </c>
      <c r="D398" t="s">
        <v>1542</v>
      </c>
      <c r="E398" t="s">
        <v>146</v>
      </c>
      <c r="F398" t="s">
        <v>44</v>
      </c>
      <c r="G398" t="s">
        <v>146</v>
      </c>
      <c r="H398" t="s">
        <v>363</v>
      </c>
      <c r="I398" t="s">
        <v>364</v>
      </c>
      <c r="J398" t="s">
        <v>8</v>
      </c>
      <c r="N398" t="str">
        <f t="shared" si="6"/>
        <v>TP</v>
      </c>
    </row>
    <row r="399" spans="1:14" x14ac:dyDescent="0.2">
      <c r="A399">
        <v>10092871</v>
      </c>
      <c r="B399">
        <v>8</v>
      </c>
      <c r="C399" t="s">
        <v>1541</v>
      </c>
      <c r="D399" t="s">
        <v>1543</v>
      </c>
      <c r="E399" t="s">
        <v>146</v>
      </c>
      <c r="F399" t="s">
        <v>44</v>
      </c>
      <c r="G399" t="s">
        <v>146</v>
      </c>
      <c r="H399" t="s">
        <v>1544</v>
      </c>
      <c r="I399" t="s">
        <v>1545</v>
      </c>
      <c r="J399" t="s">
        <v>8</v>
      </c>
      <c r="N399" t="str">
        <f t="shared" si="6"/>
        <v>TP</v>
      </c>
    </row>
    <row r="400" spans="1:14" x14ac:dyDescent="0.2">
      <c r="A400">
        <v>10092871</v>
      </c>
      <c r="B400">
        <v>8</v>
      </c>
      <c r="C400" t="s">
        <v>1541</v>
      </c>
      <c r="D400" t="s">
        <v>1546</v>
      </c>
      <c r="E400" t="s">
        <v>146</v>
      </c>
      <c r="F400" t="s">
        <v>44</v>
      </c>
      <c r="G400" t="s">
        <v>146</v>
      </c>
      <c r="H400" t="s">
        <v>1547</v>
      </c>
      <c r="I400" t="s">
        <v>1548</v>
      </c>
      <c r="J400" t="s">
        <v>8</v>
      </c>
      <c r="N400" t="str">
        <f t="shared" si="6"/>
        <v>TP</v>
      </c>
    </row>
    <row r="401" spans="1:14" x14ac:dyDescent="0.2">
      <c r="A401">
        <v>10092871</v>
      </c>
      <c r="B401">
        <v>8</v>
      </c>
      <c r="C401" t="s">
        <v>1541</v>
      </c>
      <c r="D401" t="s">
        <v>1549</v>
      </c>
      <c r="E401" t="s">
        <v>146</v>
      </c>
      <c r="F401" t="s">
        <v>99</v>
      </c>
      <c r="G401" t="s">
        <v>146</v>
      </c>
      <c r="N401" t="str">
        <f t="shared" si="6"/>
        <v>TP</v>
      </c>
    </row>
    <row r="402" spans="1:14" x14ac:dyDescent="0.2">
      <c r="A402">
        <v>10092871</v>
      </c>
      <c r="B402">
        <v>9</v>
      </c>
      <c r="C402" t="s">
        <v>1550</v>
      </c>
      <c r="J402" t="s">
        <v>169</v>
      </c>
      <c r="N402" t="str">
        <f t="shared" si="6"/>
        <v/>
      </c>
    </row>
    <row r="403" spans="1:14" x14ac:dyDescent="0.2">
      <c r="A403">
        <v>10200178</v>
      </c>
      <c r="B403">
        <v>0</v>
      </c>
      <c r="C403" t="s">
        <v>1551</v>
      </c>
      <c r="D403" t="s">
        <v>1552</v>
      </c>
      <c r="E403" t="s">
        <v>146</v>
      </c>
      <c r="F403" t="s">
        <v>44</v>
      </c>
      <c r="G403" t="s">
        <v>146</v>
      </c>
      <c r="H403" t="s">
        <v>1553</v>
      </c>
      <c r="I403" t="s">
        <v>1552</v>
      </c>
      <c r="J403" t="s">
        <v>8</v>
      </c>
      <c r="N403" t="str">
        <f t="shared" si="6"/>
        <v>TP</v>
      </c>
    </row>
    <row r="404" spans="1:14" x14ac:dyDescent="0.2">
      <c r="A404">
        <v>10200178</v>
      </c>
      <c r="B404">
        <v>1</v>
      </c>
      <c r="C404" t="s">
        <v>1554</v>
      </c>
      <c r="J404" t="s">
        <v>169</v>
      </c>
      <c r="N404" t="str">
        <f t="shared" si="6"/>
        <v/>
      </c>
    </row>
    <row r="405" spans="1:14" x14ac:dyDescent="0.2">
      <c r="A405">
        <v>10200178</v>
      </c>
      <c r="B405">
        <v>2</v>
      </c>
      <c r="C405" t="s">
        <v>1555</v>
      </c>
      <c r="D405" t="s">
        <v>1552</v>
      </c>
      <c r="E405" t="s">
        <v>146</v>
      </c>
      <c r="F405" t="s">
        <v>44</v>
      </c>
      <c r="G405" t="s">
        <v>146</v>
      </c>
      <c r="H405" t="s">
        <v>1553</v>
      </c>
      <c r="I405" t="s">
        <v>1552</v>
      </c>
      <c r="J405" t="s">
        <v>8</v>
      </c>
      <c r="N405" t="str">
        <f t="shared" si="6"/>
        <v>TP</v>
      </c>
    </row>
    <row r="406" spans="1:14" x14ac:dyDescent="0.2">
      <c r="A406">
        <v>10200178</v>
      </c>
      <c r="B406">
        <v>3</v>
      </c>
      <c r="C406" t="s">
        <v>1556</v>
      </c>
      <c r="J406" t="s">
        <v>169</v>
      </c>
      <c r="N406" t="str">
        <f t="shared" si="6"/>
        <v/>
      </c>
    </row>
    <row r="407" spans="1:14" x14ac:dyDescent="0.2">
      <c r="A407">
        <v>10200178</v>
      </c>
      <c r="B407">
        <v>4</v>
      </c>
      <c r="C407" t="s">
        <v>1557</v>
      </c>
      <c r="J407" t="s">
        <v>169</v>
      </c>
      <c r="N407" t="str">
        <f t="shared" si="6"/>
        <v/>
      </c>
    </row>
    <row r="408" spans="1:14" x14ac:dyDescent="0.2">
      <c r="A408">
        <v>10200178</v>
      </c>
      <c r="B408">
        <v>5</v>
      </c>
      <c r="C408" t="s">
        <v>1558</v>
      </c>
      <c r="J408" t="s">
        <v>169</v>
      </c>
      <c r="N408" t="str">
        <f t="shared" si="6"/>
        <v/>
      </c>
    </row>
    <row r="409" spans="1:14" x14ac:dyDescent="0.2">
      <c r="A409">
        <v>10200178</v>
      </c>
      <c r="B409">
        <v>6</v>
      </c>
      <c r="C409" t="s">
        <v>1559</v>
      </c>
      <c r="J409" t="s">
        <v>169</v>
      </c>
      <c r="N409" t="str">
        <f t="shared" si="6"/>
        <v/>
      </c>
    </row>
    <row r="410" spans="1:14" x14ac:dyDescent="0.2">
      <c r="A410">
        <v>10200178</v>
      </c>
      <c r="B410">
        <v>7</v>
      </c>
      <c r="C410" t="s">
        <v>1560</v>
      </c>
      <c r="J410" t="s">
        <v>169</v>
      </c>
      <c r="N410" t="str">
        <f t="shared" si="6"/>
        <v/>
      </c>
    </row>
    <row r="411" spans="1:14" x14ac:dyDescent="0.2">
      <c r="A411">
        <v>10200178</v>
      </c>
      <c r="B411">
        <v>8</v>
      </c>
      <c r="C411" t="s">
        <v>1561</v>
      </c>
      <c r="J411" t="s">
        <v>169</v>
      </c>
      <c r="N411" t="str">
        <f t="shared" si="6"/>
        <v/>
      </c>
    </row>
    <row r="412" spans="1:14" x14ac:dyDescent="0.2">
      <c r="A412">
        <v>10200178</v>
      </c>
      <c r="B412">
        <v>9</v>
      </c>
      <c r="C412" t="s">
        <v>1562</v>
      </c>
      <c r="J412" t="s">
        <v>169</v>
      </c>
      <c r="N412" t="str">
        <f t="shared" si="6"/>
        <v/>
      </c>
    </row>
    <row r="413" spans="1:14" x14ac:dyDescent="0.2">
      <c r="A413">
        <v>10200178</v>
      </c>
      <c r="B413">
        <v>10</v>
      </c>
      <c r="C413" t="s">
        <v>1563</v>
      </c>
      <c r="J413" t="s">
        <v>169</v>
      </c>
      <c r="N413" t="str">
        <f t="shared" si="6"/>
        <v/>
      </c>
    </row>
    <row r="414" spans="1:14" x14ac:dyDescent="0.2">
      <c r="A414">
        <v>10200178</v>
      </c>
      <c r="B414">
        <v>11</v>
      </c>
      <c r="C414" t="s">
        <v>1564</v>
      </c>
      <c r="J414" t="s">
        <v>169</v>
      </c>
      <c r="N414" t="str">
        <f t="shared" si="6"/>
        <v/>
      </c>
    </row>
    <row r="415" spans="1:14" x14ac:dyDescent="0.2">
      <c r="A415">
        <v>10200178</v>
      </c>
      <c r="B415">
        <v>12</v>
      </c>
      <c r="C415" t="s">
        <v>1565</v>
      </c>
      <c r="J415" t="s">
        <v>169</v>
      </c>
      <c r="N415" t="str">
        <f t="shared" si="6"/>
        <v/>
      </c>
    </row>
    <row r="416" spans="1:14" x14ac:dyDescent="0.2">
      <c r="A416">
        <v>10200178</v>
      </c>
      <c r="B416">
        <v>13</v>
      </c>
      <c r="C416" t="s">
        <v>1566</v>
      </c>
      <c r="J416" t="s">
        <v>169</v>
      </c>
      <c r="N416" t="str">
        <f t="shared" si="6"/>
        <v/>
      </c>
    </row>
    <row r="417" spans="1:14" x14ac:dyDescent="0.2">
      <c r="A417">
        <v>10200178</v>
      </c>
      <c r="B417">
        <v>14</v>
      </c>
      <c r="C417" t="s">
        <v>1567</v>
      </c>
      <c r="D417" t="s">
        <v>1281</v>
      </c>
      <c r="F417" t="s">
        <v>38</v>
      </c>
      <c r="N417" t="str">
        <f t="shared" si="6"/>
        <v/>
      </c>
    </row>
    <row r="418" spans="1:14" x14ac:dyDescent="0.2">
      <c r="A418">
        <v>10200178</v>
      </c>
      <c r="B418">
        <v>15</v>
      </c>
      <c r="C418" t="s">
        <v>1568</v>
      </c>
      <c r="D418" t="s">
        <v>1569</v>
      </c>
      <c r="E418" t="s">
        <v>146</v>
      </c>
      <c r="F418" t="s">
        <v>44</v>
      </c>
      <c r="G418" t="s">
        <v>146</v>
      </c>
      <c r="J418" t="s">
        <v>10</v>
      </c>
      <c r="K418" t="s">
        <v>159</v>
      </c>
      <c r="N418" t="str">
        <f t="shared" si="6"/>
        <v>TP</v>
      </c>
    </row>
    <row r="419" spans="1:14" x14ac:dyDescent="0.2">
      <c r="A419">
        <v>10200178</v>
      </c>
      <c r="B419">
        <v>15</v>
      </c>
      <c r="C419" t="s">
        <v>1568</v>
      </c>
      <c r="D419" t="s">
        <v>1570</v>
      </c>
      <c r="E419" t="s">
        <v>146</v>
      </c>
      <c r="F419" t="s">
        <v>44</v>
      </c>
      <c r="G419" t="s">
        <v>146</v>
      </c>
      <c r="J419" t="s">
        <v>10</v>
      </c>
      <c r="K419" t="s">
        <v>159</v>
      </c>
      <c r="N419" t="str">
        <f t="shared" si="6"/>
        <v>TP</v>
      </c>
    </row>
    <row r="420" spans="1:14" x14ac:dyDescent="0.2">
      <c r="A420">
        <v>10200178</v>
      </c>
      <c r="B420">
        <v>15</v>
      </c>
      <c r="C420" t="s">
        <v>1568</v>
      </c>
      <c r="D420" t="s">
        <v>1571</v>
      </c>
      <c r="E420" t="s">
        <v>146</v>
      </c>
      <c r="F420" t="s">
        <v>44</v>
      </c>
      <c r="G420" t="s">
        <v>146</v>
      </c>
      <c r="J420" t="s">
        <v>10</v>
      </c>
      <c r="K420" t="s">
        <v>159</v>
      </c>
      <c r="N420" t="str">
        <f t="shared" si="6"/>
        <v>TP</v>
      </c>
    </row>
    <row r="421" spans="1:14" x14ac:dyDescent="0.2">
      <c r="A421">
        <v>10200178</v>
      </c>
      <c r="B421">
        <v>15</v>
      </c>
      <c r="C421" t="s">
        <v>1568</v>
      </c>
      <c r="D421" t="s">
        <v>875</v>
      </c>
      <c r="E421" t="s">
        <v>146</v>
      </c>
      <c r="F421" t="s">
        <v>44</v>
      </c>
      <c r="G421" t="s">
        <v>146</v>
      </c>
      <c r="H421" t="s">
        <v>363</v>
      </c>
      <c r="I421" t="s">
        <v>364</v>
      </c>
      <c r="J421" t="s">
        <v>8</v>
      </c>
      <c r="N421" t="str">
        <f t="shared" si="6"/>
        <v>TP</v>
      </c>
    </row>
    <row r="422" spans="1:14" x14ac:dyDescent="0.2">
      <c r="A422">
        <v>10200178</v>
      </c>
      <c r="B422">
        <v>15</v>
      </c>
      <c r="C422" t="s">
        <v>1568</v>
      </c>
      <c r="D422" t="s">
        <v>1572</v>
      </c>
      <c r="E422" t="s">
        <v>146</v>
      </c>
      <c r="F422" t="s">
        <v>44</v>
      </c>
      <c r="G422" t="s">
        <v>146</v>
      </c>
      <c r="H422" t="s">
        <v>1573</v>
      </c>
      <c r="I422" t="s">
        <v>1574</v>
      </c>
      <c r="J422" t="s">
        <v>8</v>
      </c>
      <c r="N422" t="str">
        <f t="shared" si="6"/>
        <v>TP</v>
      </c>
    </row>
    <row r="423" spans="1:14" x14ac:dyDescent="0.2">
      <c r="A423">
        <v>10200178</v>
      </c>
      <c r="B423">
        <v>15</v>
      </c>
      <c r="C423" t="s">
        <v>1568</v>
      </c>
      <c r="D423" t="s">
        <v>1575</v>
      </c>
      <c r="E423" t="s">
        <v>146</v>
      </c>
      <c r="F423" t="s">
        <v>61</v>
      </c>
      <c r="G423" t="s">
        <v>146</v>
      </c>
      <c r="N423" t="str">
        <f t="shared" si="6"/>
        <v>TP</v>
      </c>
    </row>
    <row r="424" spans="1:14" x14ac:dyDescent="0.2">
      <c r="A424">
        <v>10200178</v>
      </c>
      <c r="B424">
        <v>16</v>
      </c>
      <c r="C424" t="s">
        <v>1576</v>
      </c>
      <c r="D424" t="s">
        <v>1577</v>
      </c>
      <c r="E424" t="s">
        <v>146</v>
      </c>
      <c r="F424" t="s">
        <v>44</v>
      </c>
      <c r="G424" t="s">
        <v>146</v>
      </c>
      <c r="H424" t="s">
        <v>1578</v>
      </c>
      <c r="I424" t="s">
        <v>1082</v>
      </c>
      <c r="J424" t="s">
        <v>8</v>
      </c>
      <c r="N424" t="str">
        <f t="shared" si="6"/>
        <v>TP</v>
      </c>
    </row>
    <row r="425" spans="1:14" x14ac:dyDescent="0.2">
      <c r="A425">
        <v>10200178</v>
      </c>
      <c r="B425">
        <v>16</v>
      </c>
      <c r="C425" t="s">
        <v>1576</v>
      </c>
      <c r="D425" t="s">
        <v>875</v>
      </c>
      <c r="E425" t="s">
        <v>146</v>
      </c>
      <c r="F425" t="s">
        <v>44</v>
      </c>
      <c r="G425" t="s">
        <v>146</v>
      </c>
      <c r="H425" t="s">
        <v>363</v>
      </c>
      <c r="I425" t="s">
        <v>364</v>
      </c>
      <c r="J425" t="s">
        <v>8</v>
      </c>
      <c r="N425" t="str">
        <f t="shared" si="6"/>
        <v>TP</v>
      </c>
    </row>
    <row r="426" spans="1:14" x14ac:dyDescent="0.2">
      <c r="A426">
        <v>10200178</v>
      </c>
      <c r="B426">
        <v>16</v>
      </c>
      <c r="C426" t="s">
        <v>1576</v>
      </c>
      <c r="D426" t="s">
        <v>1579</v>
      </c>
      <c r="E426" t="s">
        <v>146</v>
      </c>
      <c r="F426" t="s">
        <v>44</v>
      </c>
      <c r="G426" t="s">
        <v>146</v>
      </c>
      <c r="H426" t="s">
        <v>1573</v>
      </c>
      <c r="I426" t="s">
        <v>1574</v>
      </c>
      <c r="J426" t="s">
        <v>8</v>
      </c>
      <c r="N426" t="str">
        <f t="shared" si="6"/>
        <v>TP</v>
      </c>
    </row>
    <row r="427" spans="1:14" x14ac:dyDescent="0.2">
      <c r="A427">
        <v>10200178</v>
      </c>
      <c r="B427">
        <v>17</v>
      </c>
      <c r="C427" t="s">
        <v>1580</v>
      </c>
      <c r="D427" t="s">
        <v>875</v>
      </c>
      <c r="E427" t="s">
        <v>146</v>
      </c>
      <c r="F427" t="s">
        <v>44</v>
      </c>
      <c r="G427" t="s">
        <v>146</v>
      </c>
      <c r="H427" t="s">
        <v>363</v>
      </c>
      <c r="I427" t="s">
        <v>364</v>
      </c>
      <c r="J427" t="s">
        <v>8</v>
      </c>
      <c r="N427" t="str">
        <f t="shared" si="6"/>
        <v>TP</v>
      </c>
    </row>
    <row r="428" spans="1:14" x14ac:dyDescent="0.2">
      <c r="A428">
        <v>10200178</v>
      </c>
      <c r="B428">
        <v>17</v>
      </c>
      <c r="C428" t="s">
        <v>1580</v>
      </c>
      <c r="D428" t="s">
        <v>1579</v>
      </c>
      <c r="E428" t="s">
        <v>146</v>
      </c>
      <c r="F428" t="s">
        <v>44</v>
      </c>
      <c r="G428" t="s">
        <v>146</v>
      </c>
      <c r="H428" t="s">
        <v>1573</v>
      </c>
      <c r="I428" t="s">
        <v>1574</v>
      </c>
      <c r="J428" t="s">
        <v>8</v>
      </c>
      <c r="N428" t="str">
        <f t="shared" si="6"/>
        <v>TP</v>
      </c>
    </row>
    <row r="429" spans="1:14" x14ac:dyDescent="0.2">
      <c r="A429">
        <v>11067851</v>
      </c>
      <c r="B429">
        <v>0</v>
      </c>
      <c r="C429" t="s">
        <v>1581</v>
      </c>
      <c r="J429" t="s">
        <v>169</v>
      </c>
      <c r="N429" t="str">
        <f t="shared" si="6"/>
        <v/>
      </c>
    </row>
    <row r="430" spans="1:14" x14ac:dyDescent="0.2">
      <c r="A430">
        <v>11067851</v>
      </c>
      <c r="B430">
        <v>1</v>
      </c>
      <c r="C430" t="s">
        <v>1582</v>
      </c>
      <c r="J430" t="s">
        <v>169</v>
      </c>
      <c r="N430" t="str">
        <f t="shared" si="6"/>
        <v/>
      </c>
    </row>
    <row r="431" spans="1:14" x14ac:dyDescent="0.2">
      <c r="A431">
        <v>11067851</v>
      </c>
      <c r="B431">
        <v>2</v>
      </c>
      <c r="C431" t="s">
        <v>1583</v>
      </c>
      <c r="J431" t="s">
        <v>169</v>
      </c>
      <c r="N431" t="str">
        <f t="shared" si="6"/>
        <v/>
      </c>
    </row>
    <row r="432" spans="1:14" x14ac:dyDescent="0.2">
      <c r="A432">
        <v>11067851</v>
      </c>
      <c r="B432">
        <v>3</v>
      </c>
      <c r="C432" t="s">
        <v>1584</v>
      </c>
      <c r="J432" t="s">
        <v>169</v>
      </c>
      <c r="N432" t="str">
        <f t="shared" si="6"/>
        <v/>
      </c>
    </row>
    <row r="433" spans="1:14" x14ac:dyDescent="0.2">
      <c r="A433">
        <v>11067851</v>
      </c>
      <c r="B433">
        <v>4</v>
      </c>
      <c r="C433" t="s">
        <v>1585</v>
      </c>
      <c r="J433" t="s">
        <v>169</v>
      </c>
      <c r="N433" t="str">
        <f t="shared" si="6"/>
        <v/>
      </c>
    </row>
    <row r="434" spans="1:14" x14ac:dyDescent="0.2">
      <c r="A434">
        <v>11067851</v>
      </c>
      <c r="B434">
        <v>5</v>
      </c>
      <c r="C434" t="s">
        <v>1586</v>
      </c>
      <c r="J434" t="s">
        <v>169</v>
      </c>
      <c r="N434" t="str">
        <f t="shared" si="6"/>
        <v/>
      </c>
    </row>
    <row r="435" spans="1:14" x14ac:dyDescent="0.2">
      <c r="A435">
        <v>11067851</v>
      </c>
      <c r="B435">
        <v>6</v>
      </c>
      <c r="C435" t="s">
        <v>1587</v>
      </c>
      <c r="J435" t="s">
        <v>169</v>
      </c>
      <c r="N435" t="str">
        <f t="shared" si="6"/>
        <v/>
      </c>
    </row>
    <row r="436" spans="1:14" x14ac:dyDescent="0.2">
      <c r="A436">
        <v>11067851</v>
      </c>
      <c r="B436">
        <v>7</v>
      </c>
      <c r="C436" t="s">
        <v>1588</v>
      </c>
      <c r="J436" t="s">
        <v>169</v>
      </c>
      <c r="N436" t="str">
        <f t="shared" si="6"/>
        <v/>
      </c>
    </row>
    <row r="437" spans="1:14" x14ac:dyDescent="0.2">
      <c r="A437">
        <v>11067851</v>
      </c>
      <c r="B437">
        <v>8</v>
      </c>
      <c r="C437" t="s">
        <v>1589</v>
      </c>
      <c r="D437" t="s">
        <v>1590</v>
      </c>
      <c r="F437" t="s">
        <v>38</v>
      </c>
      <c r="N437" t="str">
        <f t="shared" si="6"/>
        <v/>
      </c>
    </row>
    <row r="438" spans="1:14" x14ac:dyDescent="0.2">
      <c r="A438">
        <v>11067851</v>
      </c>
      <c r="B438">
        <v>9</v>
      </c>
      <c r="C438" t="s">
        <v>1591</v>
      </c>
      <c r="D438" t="s">
        <v>682</v>
      </c>
      <c r="F438" t="s">
        <v>38</v>
      </c>
      <c r="N438" t="str">
        <f t="shared" si="6"/>
        <v/>
      </c>
    </row>
    <row r="439" spans="1:14" x14ac:dyDescent="0.2">
      <c r="A439">
        <v>11067851</v>
      </c>
      <c r="B439">
        <v>10</v>
      </c>
      <c r="C439" t="s">
        <v>1592</v>
      </c>
      <c r="J439" t="s">
        <v>169</v>
      </c>
      <c r="N439" t="str">
        <f t="shared" si="6"/>
        <v/>
      </c>
    </row>
    <row r="440" spans="1:14" x14ac:dyDescent="0.2">
      <c r="A440">
        <v>11168369</v>
      </c>
      <c r="B440">
        <v>0</v>
      </c>
      <c r="C440" t="s">
        <v>1593</v>
      </c>
      <c r="J440" t="s">
        <v>169</v>
      </c>
      <c r="N440" t="str">
        <f t="shared" si="6"/>
        <v/>
      </c>
    </row>
    <row r="441" spans="1:14" x14ac:dyDescent="0.2">
      <c r="A441">
        <v>11168369</v>
      </c>
      <c r="B441">
        <v>1</v>
      </c>
      <c r="C441" t="s">
        <v>1594</v>
      </c>
      <c r="J441" t="s">
        <v>169</v>
      </c>
      <c r="N441" t="str">
        <f t="shared" si="6"/>
        <v/>
      </c>
    </row>
    <row r="442" spans="1:14" x14ac:dyDescent="0.2">
      <c r="A442">
        <v>11168369</v>
      </c>
      <c r="B442">
        <v>2</v>
      </c>
      <c r="C442" t="s">
        <v>1595</v>
      </c>
      <c r="D442" t="s">
        <v>1596</v>
      </c>
      <c r="E442" t="s">
        <v>167</v>
      </c>
      <c r="F442" t="s">
        <v>44</v>
      </c>
      <c r="G442" t="s">
        <v>167</v>
      </c>
      <c r="J442" t="s">
        <v>169</v>
      </c>
      <c r="N442" t="str">
        <f t="shared" si="6"/>
        <v>FP</v>
      </c>
    </row>
    <row r="443" spans="1:14" x14ac:dyDescent="0.2">
      <c r="A443">
        <v>11168369</v>
      </c>
      <c r="B443">
        <v>3</v>
      </c>
      <c r="C443" t="s">
        <v>1597</v>
      </c>
      <c r="J443" t="s">
        <v>169</v>
      </c>
      <c r="N443" t="str">
        <f t="shared" si="6"/>
        <v/>
      </c>
    </row>
    <row r="444" spans="1:14" x14ac:dyDescent="0.2">
      <c r="A444">
        <v>11168369</v>
      </c>
      <c r="B444">
        <v>4</v>
      </c>
      <c r="C444" t="s">
        <v>1598</v>
      </c>
      <c r="J444" t="s">
        <v>169</v>
      </c>
      <c r="N444" t="str">
        <f t="shared" si="6"/>
        <v/>
      </c>
    </row>
    <row r="445" spans="1:14" x14ac:dyDescent="0.2">
      <c r="A445">
        <v>11168369</v>
      </c>
      <c r="B445">
        <v>5</v>
      </c>
      <c r="C445" t="s">
        <v>1599</v>
      </c>
      <c r="J445" t="s">
        <v>169</v>
      </c>
      <c r="N445" t="str">
        <f t="shared" si="6"/>
        <v/>
      </c>
    </row>
    <row r="446" spans="1:14" x14ac:dyDescent="0.2">
      <c r="A446">
        <v>11168369</v>
      </c>
      <c r="B446">
        <v>6</v>
      </c>
      <c r="C446" t="s">
        <v>1600</v>
      </c>
      <c r="D446" t="s">
        <v>1601</v>
      </c>
      <c r="E446" t="s">
        <v>146</v>
      </c>
      <c r="F446" t="s">
        <v>44</v>
      </c>
      <c r="G446" t="s">
        <v>146</v>
      </c>
      <c r="J446" t="s">
        <v>10</v>
      </c>
      <c r="N446" t="str">
        <f t="shared" si="6"/>
        <v>TP</v>
      </c>
    </row>
    <row r="447" spans="1:14" x14ac:dyDescent="0.2">
      <c r="A447">
        <v>11168369</v>
      </c>
      <c r="B447">
        <v>7</v>
      </c>
      <c r="C447" t="s">
        <v>1602</v>
      </c>
      <c r="D447" t="s">
        <v>1603</v>
      </c>
      <c r="F447" t="s">
        <v>38</v>
      </c>
      <c r="N447" t="str">
        <f t="shared" si="6"/>
        <v/>
      </c>
    </row>
    <row r="448" spans="1:14" x14ac:dyDescent="0.2">
      <c r="A448">
        <v>11180632</v>
      </c>
      <c r="B448">
        <v>0</v>
      </c>
      <c r="C448" t="s">
        <v>1604</v>
      </c>
      <c r="J448" t="s">
        <v>169</v>
      </c>
      <c r="N448" t="str">
        <f t="shared" si="6"/>
        <v/>
      </c>
    </row>
    <row r="449" spans="1:14" x14ac:dyDescent="0.2">
      <c r="A449">
        <v>11180632</v>
      </c>
      <c r="B449">
        <v>1</v>
      </c>
      <c r="C449" t="s">
        <v>1605</v>
      </c>
      <c r="D449" t="s">
        <v>558</v>
      </c>
      <c r="F449" t="s">
        <v>38</v>
      </c>
      <c r="N449" t="str">
        <f t="shared" si="6"/>
        <v/>
      </c>
    </row>
    <row r="450" spans="1:14" x14ac:dyDescent="0.2">
      <c r="A450">
        <v>11180632</v>
      </c>
      <c r="B450">
        <v>2</v>
      </c>
      <c r="C450" t="s">
        <v>1606</v>
      </c>
      <c r="J450" t="s">
        <v>169</v>
      </c>
      <c r="N450" t="str">
        <f t="shared" si="6"/>
        <v/>
      </c>
    </row>
    <row r="451" spans="1:14" x14ac:dyDescent="0.2">
      <c r="A451">
        <v>11180632</v>
      </c>
      <c r="B451">
        <v>3</v>
      </c>
      <c r="C451" t="s">
        <v>1607</v>
      </c>
      <c r="D451" t="s">
        <v>558</v>
      </c>
      <c r="F451" t="s">
        <v>38</v>
      </c>
      <c r="N451" t="str">
        <f t="shared" ref="N451:N514" si="7">IF(OR(E451="FP",G451="FP"),"FP",IF(AND(E451="TP",E451="TP"),"TP",""))</f>
        <v/>
      </c>
    </row>
    <row r="452" spans="1:14" x14ac:dyDescent="0.2">
      <c r="A452">
        <v>11180632</v>
      </c>
      <c r="B452">
        <v>4</v>
      </c>
      <c r="C452" t="s">
        <v>1608</v>
      </c>
      <c r="J452" t="s">
        <v>169</v>
      </c>
      <c r="N452" t="str">
        <f t="shared" si="7"/>
        <v/>
      </c>
    </row>
    <row r="453" spans="1:14" x14ac:dyDescent="0.2">
      <c r="A453">
        <v>11180632</v>
      </c>
      <c r="B453">
        <v>5</v>
      </c>
      <c r="C453" t="s">
        <v>1609</v>
      </c>
      <c r="D453" t="s">
        <v>334</v>
      </c>
      <c r="F453" t="s">
        <v>38</v>
      </c>
      <c r="N453" t="str">
        <f t="shared" si="7"/>
        <v/>
      </c>
    </row>
    <row r="454" spans="1:14" x14ac:dyDescent="0.2">
      <c r="A454">
        <v>11180632</v>
      </c>
      <c r="B454">
        <v>6</v>
      </c>
      <c r="C454" t="s">
        <v>1610</v>
      </c>
      <c r="D454" t="s">
        <v>1611</v>
      </c>
      <c r="F454" t="s">
        <v>38</v>
      </c>
      <c r="N454" t="str">
        <f t="shared" si="7"/>
        <v/>
      </c>
    </row>
    <row r="455" spans="1:14" x14ac:dyDescent="0.2">
      <c r="A455">
        <v>11180632</v>
      </c>
      <c r="B455">
        <v>6</v>
      </c>
      <c r="C455" t="s">
        <v>1610</v>
      </c>
      <c r="D455" t="s">
        <v>1612</v>
      </c>
      <c r="F455" t="s">
        <v>38</v>
      </c>
      <c r="N455" t="str">
        <f t="shared" si="7"/>
        <v/>
      </c>
    </row>
    <row r="456" spans="1:14" x14ac:dyDescent="0.2">
      <c r="A456">
        <v>11180632</v>
      </c>
      <c r="B456">
        <v>6</v>
      </c>
      <c r="C456" t="s">
        <v>1610</v>
      </c>
      <c r="D456" t="s">
        <v>1613</v>
      </c>
      <c r="E456" t="s">
        <v>146</v>
      </c>
      <c r="F456" t="s">
        <v>99</v>
      </c>
      <c r="G456" t="s">
        <v>146</v>
      </c>
      <c r="N456" t="str">
        <f t="shared" si="7"/>
        <v>TP</v>
      </c>
    </row>
    <row r="457" spans="1:14" x14ac:dyDescent="0.2">
      <c r="A457">
        <v>11180632</v>
      </c>
      <c r="B457">
        <v>7</v>
      </c>
      <c r="C457" t="s">
        <v>1614</v>
      </c>
      <c r="J457" t="s">
        <v>169</v>
      </c>
      <c r="N457" t="str">
        <f t="shared" si="7"/>
        <v/>
      </c>
    </row>
    <row r="458" spans="1:14" x14ac:dyDescent="0.2">
      <c r="A458">
        <v>11180632</v>
      </c>
      <c r="B458">
        <v>8</v>
      </c>
      <c r="C458" t="s">
        <v>1615</v>
      </c>
      <c r="D458" t="s">
        <v>1616</v>
      </c>
      <c r="F458" t="s">
        <v>38</v>
      </c>
      <c r="N458" t="str">
        <f t="shared" si="7"/>
        <v/>
      </c>
    </row>
    <row r="459" spans="1:14" x14ac:dyDescent="0.2">
      <c r="A459">
        <v>11180632</v>
      </c>
      <c r="B459">
        <v>8</v>
      </c>
      <c r="C459" t="s">
        <v>1615</v>
      </c>
      <c r="D459" t="s">
        <v>197</v>
      </c>
      <c r="F459" t="s">
        <v>38</v>
      </c>
      <c r="N459" t="str">
        <f t="shared" si="7"/>
        <v/>
      </c>
    </row>
    <row r="460" spans="1:14" x14ac:dyDescent="0.2">
      <c r="A460">
        <v>11180632</v>
      </c>
      <c r="B460">
        <v>9</v>
      </c>
      <c r="C460" t="s">
        <v>1617</v>
      </c>
      <c r="D460" t="s">
        <v>558</v>
      </c>
      <c r="F460" t="s">
        <v>38</v>
      </c>
      <c r="N460" t="str">
        <f t="shared" si="7"/>
        <v/>
      </c>
    </row>
    <row r="461" spans="1:14" x14ac:dyDescent="0.2">
      <c r="A461">
        <v>11180632</v>
      </c>
      <c r="B461">
        <v>9</v>
      </c>
      <c r="C461" t="s">
        <v>1617</v>
      </c>
      <c r="D461" t="s">
        <v>1618</v>
      </c>
      <c r="E461" t="s">
        <v>146</v>
      </c>
      <c r="F461" t="s">
        <v>3</v>
      </c>
      <c r="G461" t="s">
        <v>146</v>
      </c>
      <c r="J461" t="s">
        <v>10</v>
      </c>
      <c r="N461" t="str">
        <f t="shared" si="7"/>
        <v>TP</v>
      </c>
    </row>
    <row r="462" spans="1:14" x14ac:dyDescent="0.2">
      <c r="A462">
        <v>11258925</v>
      </c>
      <c r="B462">
        <v>0</v>
      </c>
      <c r="C462" t="s">
        <v>1619</v>
      </c>
      <c r="J462" t="s">
        <v>169</v>
      </c>
      <c r="N462" t="str">
        <f t="shared" si="7"/>
        <v/>
      </c>
    </row>
    <row r="463" spans="1:14" x14ac:dyDescent="0.2">
      <c r="A463">
        <v>11258925</v>
      </c>
      <c r="B463">
        <v>1</v>
      </c>
      <c r="C463" t="s">
        <v>1620</v>
      </c>
      <c r="J463" t="s">
        <v>169</v>
      </c>
      <c r="N463" t="str">
        <f t="shared" si="7"/>
        <v/>
      </c>
    </row>
    <row r="464" spans="1:14" x14ac:dyDescent="0.2">
      <c r="A464">
        <v>11258925</v>
      </c>
      <c r="B464">
        <v>2</v>
      </c>
      <c r="C464" t="s">
        <v>1621</v>
      </c>
      <c r="J464" t="s">
        <v>169</v>
      </c>
      <c r="N464" t="str">
        <f t="shared" si="7"/>
        <v/>
      </c>
    </row>
    <row r="465" spans="1:14" x14ac:dyDescent="0.2">
      <c r="A465">
        <v>11258925</v>
      </c>
      <c r="B465">
        <v>3</v>
      </c>
      <c r="C465" t="s">
        <v>1622</v>
      </c>
      <c r="J465" t="s">
        <v>169</v>
      </c>
      <c r="N465" t="str">
        <f t="shared" si="7"/>
        <v/>
      </c>
    </row>
    <row r="466" spans="1:14" x14ac:dyDescent="0.2">
      <c r="A466">
        <v>11258925</v>
      </c>
      <c r="B466">
        <v>4</v>
      </c>
      <c r="C466" t="s">
        <v>1623</v>
      </c>
      <c r="J466" t="s">
        <v>169</v>
      </c>
      <c r="N466" t="str">
        <f t="shared" si="7"/>
        <v/>
      </c>
    </row>
    <row r="467" spans="1:14" x14ac:dyDescent="0.2">
      <c r="A467">
        <v>11258925</v>
      </c>
      <c r="B467">
        <v>5</v>
      </c>
      <c r="C467" t="s">
        <v>1624</v>
      </c>
      <c r="D467" t="s">
        <v>1625</v>
      </c>
      <c r="E467" t="s">
        <v>146</v>
      </c>
      <c r="F467" t="s">
        <v>44</v>
      </c>
      <c r="G467" t="s">
        <v>146</v>
      </c>
      <c r="H467" t="s">
        <v>1294</v>
      </c>
      <c r="I467" t="s">
        <v>1295</v>
      </c>
      <c r="J467" t="s">
        <v>8</v>
      </c>
      <c r="N467" t="str">
        <f t="shared" si="7"/>
        <v>TP</v>
      </c>
    </row>
    <row r="468" spans="1:14" x14ac:dyDescent="0.2">
      <c r="A468">
        <v>11258925</v>
      </c>
      <c r="B468">
        <v>6</v>
      </c>
      <c r="C468" t="s">
        <v>1626</v>
      </c>
      <c r="D468" t="s">
        <v>558</v>
      </c>
      <c r="F468" t="s">
        <v>38</v>
      </c>
      <c r="N468" t="str">
        <f t="shared" si="7"/>
        <v/>
      </c>
    </row>
    <row r="469" spans="1:14" x14ac:dyDescent="0.2">
      <c r="A469">
        <v>11258925</v>
      </c>
      <c r="B469">
        <v>6</v>
      </c>
      <c r="C469" t="s">
        <v>1626</v>
      </c>
      <c r="D469" t="s">
        <v>370</v>
      </c>
      <c r="E469" t="s">
        <v>146</v>
      </c>
      <c r="F469" t="s">
        <v>61</v>
      </c>
      <c r="G469" t="s">
        <v>146</v>
      </c>
      <c r="N469" t="str">
        <f t="shared" si="7"/>
        <v>TP</v>
      </c>
    </row>
    <row r="470" spans="1:14" x14ac:dyDescent="0.2">
      <c r="A470">
        <v>11258925</v>
      </c>
      <c r="B470">
        <v>6</v>
      </c>
      <c r="C470" t="s">
        <v>1626</v>
      </c>
      <c r="D470" t="s">
        <v>1058</v>
      </c>
      <c r="E470" t="s">
        <v>146</v>
      </c>
      <c r="F470" t="s">
        <v>61</v>
      </c>
      <c r="G470" t="s">
        <v>146</v>
      </c>
      <c r="N470" t="str">
        <f t="shared" si="7"/>
        <v>TP</v>
      </c>
    </row>
    <row r="471" spans="1:14" x14ac:dyDescent="0.2">
      <c r="A471">
        <v>11258925</v>
      </c>
      <c r="B471">
        <v>7</v>
      </c>
      <c r="C471" t="s">
        <v>1627</v>
      </c>
      <c r="J471" t="s">
        <v>169</v>
      </c>
      <c r="N471" t="str">
        <f t="shared" si="7"/>
        <v/>
      </c>
    </row>
    <row r="472" spans="1:14" x14ac:dyDescent="0.2">
      <c r="A472">
        <v>11258925</v>
      </c>
      <c r="B472">
        <v>8</v>
      </c>
      <c r="C472" t="s">
        <v>1628</v>
      </c>
      <c r="D472" t="s">
        <v>1625</v>
      </c>
      <c r="E472" t="s">
        <v>146</v>
      </c>
      <c r="F472" t="s">
        <v>44</v>
      </c>
      <c r="G472" t="s">
        <v>146</v>
      </c>
      <c r="H472" t="s">
        <v>1294</v>
      </c>
      <c r="I472" t="s">
        <v>1295</v>
      </c>
      <c r="J472" t="s">
        <v>8</v>
      </c>
      <c r="N472" t="str">
        <f t="shared" si="7"/>
        <v>TP</v>
      </c>
    </row>
    <row r="473" spans="1:14" x14ac:dyDescent="0.2">
      <c r="A473">
        <v>11258925</v>
      </c>
      <c r="B473">
        <v>9</v>
      </c>
      <c r="C473" t="s">
        <v>1629</v>
      </c>
      <c r="D473" t="s">
        <v>1058</v>
      </c>
      <c r="E473" t="s">
        <v>146</v>
      </c>
      <c r="F473" t="s">
        <v>61</v>
      </c>
      <c r="G473" t="s">
        <v>146</v>
      </c>
      <c r="N473" t="str">
        <f t="shared" si="7"/>
        <v>TP</v>
      </c>
    </row>
    <row r="474" spans="1:14" x14ac:dyDescent="0.2">
      <c r="A474">
        <v>11258925</v>
      </c>
      <c r="B474">
        <v>9</v>
      </c>
      <c r="C474" t="s">
        <v>1629</v>
      </c>
      <c r="D474" t="s">
        <v>1058</v>
      </c>
      <c r="E474" t="s">
        <v>146</v>
      </c>
      <c r="F474" t="s">
        <v>61</v>
      </c>
      <c r="G474" t="s">
        <v>146</v>
      </c>
      <c r="N474" t="str">
        <f t="shared" si="7"/>
        <v>TP</v>
      </c>
    </row>
    <row r="475" spans="1:14" x14ac:dyDescent="0.2">
      <c r="A475">
        <v>11258925</v>
      </c>
      <c r="B475">
        <v>11</v>
      </c>
      <c r="C475" t="s">
        <v>1630</v>
      </c>
      <c r="J475" t="s">
        <v>169</v>
      </c>
      <c r="N475" t="str">
        <f t="shared" si="7"/>
        <v/>
      </c>
    </row>
    <row r="476" spans="1:14" x14ac:dyDescent="0.2">
      <c r="A476">
        <v>11447134</v>
      </c>
      <c r="B476">
        <v>0</v>
      </c>
      <c r="C476" t="s">
        <v>1631</v>
      </c>
      <c r="D476" t="s">
        <v>267</v>
      </c>
      <c r="F476" t="s">
        <v>38</v>
      </c>
      <c r="N476" t="str">
        <f t="shared" si="7"/>
        <v/>
      </c>
    </row>
    <row r="477" spans="1:14" x14ac:dyDescent="0.2">
      <c r="A477">
        <v>11447134</v>
      </c>
      <c r="B477">
        <v>0</v>
      </c>
      <c r="C477" t="s">
        <v>1631</v>
      </c>
      <c r="D477" t="s">
        <v>1281</v>
      </c>
      <c r="F477" t="s">
        <v>38</v>
      </c>
      <c r="N477" t="str">
        <f t="shared" si="7"/>
        <v/>
      </c>
    </row>
    <row r="478" spans="1:14" x14ac:dyDescent="0.2">
      <c r="A478">
        <v>11447134</v>
      </c>
      <c r="B478">
        <v>1</v>
      </c>
      <c r="C478" t="s">
        <v>1632</v>
      </c>
      <c r="D478" t="s">
        <v>48</v>
      </c>
      <c r="F478" t="s">
        <v>38</v>
      </c>
      <c r="N478" t="str">
        <f t="shared" si="7"/>
        <v/>
      </c>
    </row>
    <row r="479" spans="1:14" x14ac:dyDescent="0.2">
      <c r="A479">
        <v>11447134</v>
      </c>
      <c r="B479">
        <v>2</v>
      </c>
      <c r="C479" t="s">
        <v>1633</v>
      </c>
      <c r="J479" t="s">
        <v>169</v>
      </c>
      <c r="N479" t="str">
        <f t="shared" si="7"/>
        <v/>
      </c>
    </row>
    <row r="480" spans="1:14" x14ac:dyDescent="0.2">
      <c r="A480">
        <v>11447134</v>
      </c>
      <c r="B480">
        <v>3</v>
      </c>
      <c r="C480" t="s">
        <v>1634</v>
      </c>
      <c r="J480" t="s">
        <v>169</v>
      </c>
      <c r="N480" t="str">
        <f t="shared" si="7"/>
        <v/>
      </c>
    </row>
    <row r="481" spans="1:14" x14ac:dyDescent="0.2">
      <c r="A481">
        <v>11447134</v>
      </c>
      <c r="B481">
        <v>4</v>
      </c>
      <c r="C481" t="s">
        <v>1635</v>
      </c>
      <c r="D481" t="s">
        <v>1186</v>
      </c>
      <c r="F481" t="s">
        <v>38</v>
      </c>
      <c r="N481" t="str">
        <f t="shared" si="7"/>
        <v/>
      </c>
    </row>
    <row r="482" spans="1:14" x14ac:dyDescent="0.2">
      <c r="A482">
        <v>11447134</v>
      </c>
      <c r="B482">
        <v>5</v>
      </c>
      <c r="C482" t="s">
        <v>1636</v>
      </c>
      <c r="J482" t="s">
        <v>169</v>
      </c>
      <c r="N482" t="str">
        <f t="shared" si="7"/>
        <v/>
      </c>
    </row>
    <row r="483" spans="1:14" x14ac:dyDescent="0.2">
      <c r="A483">
        <v>11447134</v>
      </c>
      <c r="B483">
        <v>6</v>
      </c>
      <c r="C483" t="s">
        <v>1637</v>
      </c>
      <c r="J483" t="s">
        <v>169</v>
      </c>
      <c r="N483" t="str">
        <f t="shared" si="7"/>
        <v/>
      </c>
    </row>
    <row r="484" spans="1:14" x14ac:dyDescent="0.2">
      <c r="A484">
        <v>11447134</v>
      </c>
      <c r="B484">
        <v>7</v>
      </c>
      <c r="C484" t="s">
        <v>1638</v>
      </c>
      <c r="J484" t="s">
        <v>169</v>
      </c>
      <c r="N484" t="str">
        <f t="shared" si="7"/>
        <v/>
      </c>
    </row>
    <row r="485" spans="1:14" x14ac:dyDescent="0.2">
      <c r="A485">
        <v>11447134</v>
      </c>
      <c r="B485">
        <v>8</v>
      </c>
      <c r="C485" t="s">
        <v>1639</v>
      </c>
      <c r="D485" t="s">
        <v>1640</v>
      </c>
      <c r="F485" t="s">
        <v>38</v>
      </c>
      <c r="N485" t="str">
        <f t="shared" si="7"/>
        <v/>
      </c>
    </row>
    <row r="486" spans="1:14" x14ac:dyDescent="0.2">
      <c r="A486">
        <v>11447134</v>
      </c>
      <c r="B486">
        <v>9</v>
      </c>
      <c r="C486" t="s">
        <v>1641</v>
      </c>
      <c r="D486" t="s">
        <v>1186</v>
      </c>
      <c r="F486" t="s">
        <v>38</v>
      </c>
      <c r="N486" t="str">
        <f t="shared" si="7"/>
        <v/>
      </c>
    </row>
    <row r="487" spans="1:14" x14ac:dyDescent="0.2">
      <c r="A487">
        <v>11447134</v>
      </c>
      <c r="B487">
        <v>9</v>
      </c>
      <c r="C487" t="s">
        <v>1641</v>
      </c>
      <c r="D487" t="s">
        <v>1281</v>
      </c>
      <c r="F487" t="s">
        <v>38</v>
      </c>
      <c r="N487" t="str">
        <f t="shared" si="7"/>
        <v/>
      </c>
    </row>
    <row r="488" spans="1:14" x14ac:dyDescent="0.2">
      <c r="A488">
        <v>11447134</v>
      </c>
      <c r="B488">
        <v>10</v>
      </c>
      <c r="C488" t="s">
        <v>1642</v>
      </c>
      <c r="D488" t="s">
        <v>1643</v>
      </c>
      <c r="E488" t="s">
        <v>146</v>
      </c>
      <c r="F488" t="s">
        <v>44</v>
      </c>
      <c r="G488" t="s">
        <v>146</v>
      </c>
      <c r="J488" t="s">
        <v>10</v>
      </c>
      <c r="N488" t="str">
        <f t="shared" si="7"/>
        <v>TP</v>
      </c>
    </row>
    <row r="489" spans="1:14" x14ac:dyDescent="0.2">
      <c r="A489">
        <v>11447134</v>
      </c>
      <c r="B489">
        <v>10</v>
      </c>
      <c r="C489" t="s">
        <v>1642</v>
      </c>
      <c r="D489" t="s">
        <v>1644</v>
      </c>
      <c r="E489" t="s">
        <v>146</v>
      </c>
      <c r="F489" t="s">
        <v>44</v>
      </c>
      <c r="G489" t="s">
        <v>146</v>
      </c>
      <c r="H489" t="s">
        <v>1294</v>
      </c>
      <c r="I489" t="s">
        <v>1295</v>
      </c>
      <c r="J489" t="s">
        <v>8</v>
      </c>
      <c r="N489" t="str">
        <f t="shared" si="7"/>
        <v>TP</v>
      </c>
    </row>
    <row r="490" spans="1:14" x14ac:dyDescent="0.2">
      <c r="A490">
        <v>11447134</v>
      </c>
      <c r="B490">
        <v>10</v>
      </c>
      <c r="C490" t="s">
        <v>1642</v>
      </c>
      <c r="D490" t="s">
        <v>312</v>
      </c>
      <c r="F490" t="s">
        <v>38</v>
      </c>
      <c r="N490" t="str">
        <f t="shared" si="7"/>
        <v/>
      </c>
    </row>
    <row r="491" spans="1:14" x14ac:dyDescent="0.2">
      <c r="A491">
        <v>11588155</v>
      </c>
      <c r="B491">
        <v>0</v>
      </c>
      <c r="C491" t="s">
        <v>1645</v>
      </c>
      <c r="D491" t="s">
        <v>558</v>
      </c>
      <c r="F491" t="s">
        <v>38</v>
      </c>
      <c r="N491" t="str">
        <f t="shared" si="7"/>
        <v/>
      </c>
    </row>
    <row r="492" spans="1:14" x14ac:dyDescent="0.2">
      <c r="A492">
        <v>11588155</v>
      </c>
      <c r="B492">
        <v>0</v>
      </c>
      <c r="C492" t="s">
        <v>1645</v>
      </c>
      <c r="D492" t="s">
        <v>1646</v>
      </c>
      <c r="E492" t="s">
        <v>146</v>
      </c>
      <c r="F492" t="s">
        <v>99</v>
      </c>
      <c r="G492" t="s">
        <v>167</v>
      </c>
      <c r="M492" t="s">
        <v>3</v>
      </c>
      <c r="N492" t="str">
        <f t="shared" si="7"/>
        <v>FP</v>
      </c>
    </row>
    <row r="493" spans="1:14" x14ac:dyDescent="0.2">
      <c r="A493">
        <v>11588155</v>
      </c>
      <c r="B493">
        <v>1</v>
      </c>
      <c r="C493" t="s">
        <v>1647</v>
      </c>
      <c r="D493" t="s">
        <v>884</v>
      </c>
      <c r="F493" t="s">
        <v>38</v>
      </c>
      <c r="N493" t="str">
        <f t="shared" si="7"/>
        <v/>
      </c>
    </row>
    <row r="494" spans="1:14" x14ac:dyDescent="0.2">
      <c r="A494">
        <v>11588155</v>
      </c>
      <c r="B494">
        <v>2</v>
      </c>
      <c r="C494" t="s">
        <v>1648</v>
      </c>
      <c r="D494" t="s">
        <v>1281</v>
      </c>
      <c r="F494" t="s">
        <v>38</v>
      </c>
      <c r="N494" t="str">
        <f t="shared" si="7"/>
        <v/>
      </c>
    </row>
    <row r="495" spans="1:14" x14ac:dyDescent="0.2">
      <c r="A495">
        <v>11588155</v>
      </c>
      <c r="B495">
        <v>3</v>
      </c>
      <c r="C495" t="s">
        <v>1649</v>
      </c>
      <c r="D495" t="s">
        <v>884</v>
      </c>
      <c r="F495" t="s">
        <v>38</v>
      </c>
      <c r="N495" t="str">
        <f t="shared" si="7"/>
        <v/>
      </c>
    </row>
    <row r="496" spans="1:14" x14ac:dyDescent="0.2">
      <c r="A496">
        <v>11588155</v>
      </c>
      <c r="B496">
        <v>3</v>
      </c>
      <c r="C496" t="s">
        <v>1649</v>
      </c>
      <c r="D496" t="s">
        <v>558</v>
      </c>
      <c r="F496" t="s">
        <v>38</v>
      </c>
      <c r="N496" t="str">
        <f t="shared" si="7"/>
        <v/>
      </c>
    </row>
    <row r="497" spans="1:14" x14ac:dyDescent="0.2">
      <c r="A497">
        <v>11588155</v>
      </c>
      <c r="B497">
        <v>3</v>
      </c>
      <c r="C497" t="s">
        <v>1649</v>
      </c>
      <c r="D497" t="s">
        <v>334</v>
      </c>
      <c r="F497" t="s">
        <v>38</v>
      </c>
      <c r="N497" t="str">
        <f t="shared" si="7"/>
        <v/>
      </c>
    </row>
    <row r="498" spans="1:14" x14ac:dyDescent="0.2">
      <c r="A498">
        <v>11588155</v>
      </c>
      <c r="B498">
        <v>3</v>
      </c>
      <c r="C498" t="s">
        <v>1649</v>
      </c>
      <c r="D498" t="s">
        <v>1650</v>
      </c>
      <c r="E498" t="s">
        <v>146</v>
      </c>
      <c r="F498" t="s">
        <v>44</v>
      </c>
      <c r="G498" t="s">
        <v>146</v>
      </c>
      <c r="J498" t="s">
        <v>10</v>
      </c>
      <c r="N498" t="str">
        <f t="shared" si="7"/>
        <v>TP</v>
      </c>
    </row>
    <row r="499" spans="1:14" x14ac:dyDescent="0.2">
      <c r="A499">
        <v>11588155</v>
      </c>
      <c r="B499">
        <v>3</v>
      </c>
      <c r="C499" t="s">
        <v>1649</v>
      </c>
      <c r="D499" t="s">
        <v>1651</v>
      </c>
      <c r="F499" t="s">
        <v>44</v>
      </c>
      <c r="H499" t="s">
        <v>1652</v>
      </c>
      <c r="I499" t="s">
        <v>1653</v>
      </c>
      <c r="J499" t="s">
        <v>8</v>
      </c>
      <c r="N499" t="str">
        <f t="shared" si="7"/>
        <v/>
      </c>
    </row>
    <row r="500" spans="1:14" x14ac:dyDescent="0.2">
      <c r="A500">
        <v>11588155</v>
      </c>
      <c r="B500">
        <v>4</v>
      </c>
      <c r="C500" t="s">
        <v>1654</v>
      </c>
      <c r="D500" t="s">
        <v>1281</v>
      </c>
      <c r="F500" t="s">
        <v>38</v>
      </c>
      <c r="N500" t="str">
        <f t="shared" si="7"/>
        <v/>
      </c>
    </row>
    <row r="501" spans="1:14" x14ac:dyDescent="0.2">
      <c r="A501">
        <v>11588155</v>
      </c>
      <c r="B501">
        <v>5</v>
      </c>
      <c r="C501" t="s">
        <v>1655</v>
      </c>
      <c r="D501" t="s">
        <v>1656</v>
      </c>
      <c r="F501" t="s">
        <v>38</v>
      </c>
      <c r="N501" t="str">
        <f t="shared" si="7"/>
        <v/>
      </c>
    </row>
    <row r="502" spans="1:14" x14ac:dyDescent="0.2">
      <c r="A502">
        <v>11588155</v>
      </c>
      <c r="B502">
        <v>6</v>
      </c>
      <c r="C502" t="s">
        <v>1657</v>
      </c>
      <c r="D502" t="s">
        <v>1658</v>
      </c>
      <c r="E502" t="s">
        <v>146</v>
      </c>
      <c r="F502" t="s">
        <v>44</v>
      </c>
      <c r="G502" t="s">
        <v>146</v>
      </c>
      <c r="J502" t="s">
        <v>10</v>
      </c>
      <c r="N502" t="str">
        <f t="shared" si="7"/>
        <v>TP</v>
      </c>
    </row>
    <row r="503" spans="1:14" x14ac:dyDescent="0.2">
      <c r="A503">
        <v>11588155</v>
      </c>
      <c r="B503">
        <v>7</v>
      </c>
      <c r="C503" t="s">
        <v>1659</v>
      </c>
      <c r="D503" t="s">
        <v>57</v>
      </c>
      <c r="F503" t="s">
        <v>38</v>
      </c>
      <c r="N503" t="str">
        <f t="shared" si="7"/>
        <v/>
      </c>
    </row>
    <row r="504" spans="1:14" x14ac:dyDescent="0.2">
      <c r="A504">
        <v>11588155</v>
      </c>
      <c r="B504">
        <v>7</v>
      </c>
      <c r="C504" t="s">
        <v>1659</v>
      </c>
      <c r="D504" t="s">
        <v>1646</v>
      </c>
      <c r="E504" t="s">
        <v>146</v>
      </c>
      <c r="F504" t="s">
        <v>99</v>
      </c>
      <c r="G504" t="s">
        <v>167</v>
      </c>
      <c r="M504" t="s">
        <v>3</v>
      </c>
      <c r="N504" t="str">
        <f t="shared" si="7"/>
        <v>FP</v>
      </c>
    </row>
    <row r="505" spans="1:14" x14ac:dyDescent="0.2">
      <c r="A505">
        <v>11588155</v>
      </c>
      <c r="B505">
        <v>8</v>
      </c>
      <c r="C505" t="s">
        <v>1660</v>
      </c>
      <c r="D505" t="s">
        <v>227</v>
      </c>
      <c r="E505" t="s">
        <v>146</v>
      </c>
      <c r="F505" t="s">
        <v>61</v>
      </c>
      <c r="G505" t="s">
        <v>146</v>
      </c>
      <c r="N505" t="str">
        <f t="shared" si="7"/>
        <v>TP</v>
      </c>
    </row>
    <row r="506" spans="1:14" x14ac:dyDescent="0.2">
      <c r="A506">
        <v>11588155</v>
      </c>
      <c r="B506">
        <v>8</v>
      </c>
      <c r="C506" t="s">
        <v>1660</v>
      </c>
      <c r="D506" t="s">
        <v>1656</v>
      </c>
      <c r="F506" t="s">
        <v>38</v>
      </c>
      <c r="N506" t="str">
        <f t="shared" si="7"/>
        <v/>
      </c>
    </row>
    <row r="507" spans="1:14" x14ac:dyDescent="0.2">
      <c r="A507">
        <v>11676606</v>
      </c>
      <c r="B507">
        <v>0</v>
      </c>
      <c r="C507" t="s">
        <v>1661</v>
      </c>
      <c r="D507" t="s">
        <v>1662</v>
      </c>
      <c r="F507" t="s">
        <v>38</v>
      </c>
      <c r="N507" t="str">
        <f t="shared" si="7"/>
        <v/>
      </c>
    </row>
    <row r="508" spans="1:14" x14ac:dyDescent="0.2">
      <c r="A508">
        <v>11676606</v>
      </c>
      <c r="B508">
        <v>1</v>
      </c>
      <c r="C508" t="s">
        <v>1663</v>
      </c>
      <c r="J508" t="s">
        <v>169</v>
      </c>
      <c r="N508" t="str">
        <f t="shared" si="7"/>
        <v/>
      </c>
    </row>
    <row r="509" spans="1:14" x14ac:dyDescent="0.2">
      <c r="A509">
        <v>11676606</v>
      </c>
      <c r="B509">
        <v>2</v>
      </c>
      <c r="C509" t="s">
        <v>1664</v>
      </c>
      <c r="J509" t="s">
        <v>169</v>
      </c>
      <c r="N509" t="str">
        <f t="shared" si="7"/>
        <v/>
      </c>
    </row>
    <row r="510" spans="1:14" x14ac:dyDescent="0.2">
      <c r="A510">
        <v>11676606</v>
      </c>
      <c r="B510">
        <v>3</v>
      </c>
      <c r="C510" t="s">
        <v>1665</v>
      </c>
      <c r="D510" t="s">
        <v>884</v>
      </c>
      <c r="F510" t="s">
        <v>38</v>
      </c>
      <c r="N510" t="str">
        <f t="shared" si="7"/>
        <v/>
      </c>
    </row>
    <row r="511" spans="1:14" x14ac:dyDescent="0.2">
      <c r="A511">
        <v>11676606</v>
      </c>
      <c r="B511">
        <v>4</v>
      </c>
      <c r="C511" t="s">
        <v>1666</v>
      </c>
      <c r="J511" t="s">
        <v>169</v>
      </c>
      <c r="N511" t="str">
        <f t="shared" si="7"/>
        <v/>
      </c>
    </row>
    <row r="512" spans="1:14" x14ac:dyDescent="0.2">
      <c r="A512">
        <v>11676606</v>
      </c>
      <c r="B512">
        <v>5</v>
      </c>
      <c r="C512" t="s">
        <v>1667</v>
      </c>
      <c r="D512" t="s">
        <v>334</v>
      </c>
      <c r="F512" t="s">
        <v>38</v>
      </c>
      <c r="N512" t="str">
        <f t="shared" si="7"/>
        <v/>
      </c>
    </row>
    <row r="513" spans="1:14" x14ac:dyDescent="0.2">
      <c r="A513">
        <v>11676606</v>
      </c>
      <c r="B513">
        <v>6</v>
      </c>
      <c r="C513" t="s">
        <v>1668</v>
      </c>
      <c r="D513" t="s">
        <v>884</v>
      </c>
      <c r="F513" t="s">
        <v>38</v>
      </c>
      <c r="N513" t="str">
        <f t="shared" si="7"/>
        <v/>
      </c>
    </row>
    <row r="514" spans="1:14" x14ac:dyDescent="0.2">
      <c r="A514">
        <v>11676606</v>
      </c>
      <c r="B514">
        <v>6</v>
      </c>
      <c r="C514" t="s">
        <v>1668</v>
      </c>
      <c r="D514" t="s">
        <v>1293</v>
      </c>
      <c r="E514" t="s">
        <v>146</v>
      </c>
      <c r="F514" t="s">
        <v>44</v>
      </c>
      <c r="G514" t="s">
        <v>146</v>
      </c>
      <c r="H514" t="s">
        <v>1294</v>
      </c>
      <c r="I514" t="s">
        <v>1295</v>
      </c>
      <c r="J514" t="s">
        <v>8</v>
      </c>
      <c r="N514" t="str">
        <f t="shared" si="7"/>
        <v>TP</v>
      </c>
    </row>
    <row r="515" spans="1:14" x14ac:dyDescent="0.2">
      <c r="A515">
        <v>11676606</v>
      </c>
      <c r="B515">
        <v>6</v>
      </c>
      <c r="C515" t="s">
        <v>1668</v>
      </c>
      <c r="D515" t="s">
        <v>1669</v>
      </c>
      <c r="F515" t="s">
        <v>38</v>
      </c>
      <c r="N515" t="str">
        <f t="shared" ref="N515:N578" si="8">IF(OR(E515="FP",G515="FP"),"FP",IF(AND(E515="TP",E515="TP"),"TP",""))</f>
        <v/>
      </c>
    </row>
    <row r="516" spans="1:14" x14ac:dyDescent="0.2">
      <c r="A516">
        <v>11676606</v>
      </c>
      <c r="B516">
        <v>6</v>
      </c>
      <c r="C516" t="s">
        <v>1668</v>
      </c>
      <c r="D516" t="s">
        <v>1670</v>
      </c>
      <c r="E516" t="s">
        <v>146</v>
      </c>
      <c r="F516" t="s">
        <v>44</v>
      </c>
      <c r="G516" t="s">
        <v>146</v>
      </c>
      <c r="J516" t="s">
        <v>169</v>
      </c>
      <c r="N516" t="str">
        <f t="shared" si="8"/>
        <v>TP</v>
      </c>
    </row>
    <row r="517" spans="1:14" x14ac:dyDescent="0.2">
      <c r="A517">
        <v>11676606</v>
      </c>
      <c r="B517">
        <v>7</v>
      </c>
      <c r="C517" t="s">
        <v>1671</v>
      </c>
      <c r="D517" t="s">
        <v>1552</v>
      </c>
      <c r="E517" t="s">
        <v>146</v>
      </c>
      <c r="F517" t="s">
        <v>44</v>
      </c>
      <c r="G517" t="s">
        <v>146</v>
      </c>
      <c r="H517" t="s">
        <v>1553</v>
      </c>
      <c r="I517" t="s">
        <v>1552</v>
      </c>
      <c r="J517" t="s">
        <v>8</v>
      </c>
      <c r="N517" t="str">
        <f t="shared" si="8"/>
        <v>TP</v>
      </c>
    </row>
    <row r="518" spans="1:14" x14ac:dyDescent="0.2">
      <c r="A518">
        <v>11738084</v>
      </c>
      <c r="B518">
        <v>0</v>
      </c>
      <c r="C518" t="s">
        <v>1672</v>
      </c>
      <c r="D518" t="s">
        <v>1673</v>
      </c>
      <c r="F518" t="s">
        <v>38</v>
      </c>
      <c r="J518" t="s">
        <v>10</v>
      </c>
      <c r="N518" t="str">
        <f t="shared" si="8"/>
        <v/>
      </c>
    </row>
    <row r="519" spans="1:14" x14ac:dyDescent="0.2">
      <c r="A519">
        <v>11738084</v>
      </c>
      <c r="B519">
        <v>1</v>
      </c>
      <c r="C519" t="s">
        <v>1674</v>
      </c>
      <c r="D519" t="s">
        <v>884</v>
      </c>
      <c r="F519" t="s">
        <v>38</v>
      </c>
      <c r="N519" t="str">
        <f t="shared" si="8"/>
        <v/>
      </c>
    </row>
    <row r="520" spans="1:14" x14ac:dyDescent="0.2">
      <c r="A520">
        <v>11738084</v>
      </c>
      <c r="B520">
        <v>2</v>
      </c>
      <c r="C520" t="s">
        <v>1675</v>
      </c>
      <c r="D520" t="s">
        <v>1676</v>
      </c>
      <c r="F520" t="s">
        <v>38</v>
      </c>
      <c r="N520" t="str">
        <f t="shared" si="8"/>
        <v/>
      </c>
    </row>
    <row r="521" spans="1:14" x14ac:dyDescent="0.2">
      <c r="A521">
        <v>11738084</v>
      </c>
      <c r="B521">
        <v>3</v>
      </c>
      <c r="C521" t="s">
        <v>1677</v>
      </c>
      <c r="D521" t="s">
        <v>197</v>
      </c>
      <c r="F521" t="s">
        <v>38</v>
      </c>
      <c r="N521" t="str">
        <f t="shared" si="8"/>
        <v/>
      </c>
    </row>
    <row r="522" spans="1:14" x14ac:dyDescent="0.2">
      <c r="A522">
        <v>11738084</v>
      </c>
      <c r="B522">
        <v>4</v>
      </c>
      <c r="C522" t="s">
        <v>1678</v>
      </c>
      <c r="D522" t="s">
        <v>1676</v>
      </c>
      <c r="F522" t="s">
        <v>38</v>
      </c>
      <c r="N522" t="str">
        <f t="shared" si="8"/>
        <v/>
      </c>
    </row>
    <row r="523" spans="1:14" x14ac:dyDescent="0.2">
      <c r="A523">
        <v>11738084</v>
      </c>
      <c r="B523">
        <v>4</v>
      </c>
      <c r="C523" t="s">
        <v>1678</v>
      </c>
      <c r="D523" t="s">
        <v>1679</v>
      </c>
      <c r="E523" t="s">
        <v>146</v>
      </c>
      <c r="F523" t="s">
        <v>44</v>
      </c>
      <c r="G523" t="s">
        <v>146</v>
      </c>
      <c r="J523" t="s">
        <v>10</v>
      </c>
      <c r="N523" t="str">
        <f t="shared" si="8"/>
        <v>TP</v>
      </c>
    </row>
    <row r="524" spans="1:14" x14ac:dyDescent="0.2">
      <c r="A524">
        <v>11738084</v>
      </c>
      <c r="B524">
        <v>5</v>
      </c>
      <c r="C524" t="s">
        <v>1680</v>
      </c>
      <c r="D524" t="s">
        <v>1676</v>
      </c>
      <c r="F524" t="s">
        <v>38</v>
      </c>
      <c r="N524" t="str">
        <f t="shared" si="8"/>
        <v/>
      </c>
    </row>
    <row r="525" spans="1:14" x14ac:dyDescent="0.2">
      <c r="A525">
        <v>11738084</v>
      </c>
      <c r="B525">
        <v>5</v>
      </c>
      <c r="C525" t="s">
        <v>1680</v>
      </c>
      <c r="D525" t="s">
        <v>227</v>
      </c>
      <c r="E525" t="s">
        <v>146</v>
      </c>
      <c r="F525" t="s">
        <v>61</v>
      </c>
      <c r="G525" t="s">
        <v>146</v>
      </c>
      <c r="N525" t="str">
        <f t="shared" si="8"/>
        <v>TP</v>
      </c>
    </row>
    <row r="526" spans="1:14" x14ac:dyDescent="0.2">
      <c r="A526">
        <v>11738084</v>
      </c>
      <c r="B526">
        <v>6</v>
      </c>
      <c r="C526" t="s">
        <v>1681</v>
      </c>
      <c r="D526" t="s">
        <v>1281</v>
      </c>
      <c r="F526" t="s">
        <v>38</v>
      </c>
      <c r="N526" t="str">
        <f t="shared" si="8"/>
        <v/>
      </c>
    </row>
    <row r="527" spans="1:14" x14ac:dyDescent="0.2">
      <c r="A527">
        <v>11738084</v>
      </c>
      <c r="B527">
        <v>7</v>
      </c>
      <c r="C527" t="s">
        <v>1682</v>
      </c>
      <c r="J527" t="s">
        <v>169</v>
      </c>
      <c r="N527" t="str">
        <f t="shared" si="8"/>
        <v/>
      </c>
    </row>
    <row r="528" spans="1:14" x14ac:dyDescent="0.2">
      <c r="A528">
        <v>11738084</v>
      </c>
      <c r="B528">
        <v>8</v>
      </c>
      <c r="C528" t="s">
        <v>1683</v>
      </c>
      <c r="D528" t="s">
        <v>1299</v>
      </c>
      <c r="F528" t="s">
        <v>38</v>
      </c>
      <c r="N528" t="str">
        <f t="shared" si="8"/>
        <v/>
      </c>
    </row>
    <row r="529" spans="1:14" x14ac:dyDescent="0.2">
      <c r="A529">
        <v>11805077</v>
      </c>
      <c r="B529">
        <v>0</v>
      </c>
      <c r="C529" t="s">
        <v>1684</v>
      </c>
      <c r="D529" t="s">
        <v>1685</v>
      </c>
      <c r="F529" t="s">
        <v>38</v>
      </c>
      <c r="N529" t="str">
        <f t="shared" si="8"/>
        <v/>
      </c>
    </row>
    <row r="530" spans="1:14" x14ac:dyDescent="0.2">
      <c r="A530">
        <v>11805077</v>
      </c>
      <c r="B530">
        <v>1</v>
      </c>
      <c r="C530" t="s">
        <v>1686</v>
      </c>
      <c r="D530" t="s">
        <v>334</v>
      </c>
      <c r="F530" t="s">
        <v>38</v>
      </c>
      <c r="N530" t="str">
        <f t="shared" si="8"/>
        <v/>
      </c>
    </row>
    <row r="531" spans="1:14" x14ac:dyDescent="0.2">
      <c r="A531">
        <v>11805077</v>
      </c>
      <c r="B531">
        <v>2</v>
      </c>
      <c r="C531" t="s">
        <v>1687</v>
      </c>
      <c r="D531" t="s">
        <v>1685</v>
      </c>
      <c r="F531" t="s">
        <v>38</v>
      </c>
      <c r="N531" t="str">
        <f t="shared" si="8"/>
        <v/>
      </c>
    </row>
    <row r="532" spans="1:14" x14ac:dyDescent="0.2">
      <c r="A532">
        <v>11805077</v>
      </c>
      <c r="B532">
        <v>3</v>
      </c>
      <c r="C532" t="s">
        <v>1688</v>
      </c>
      <c r="D532" t="s">
        <v>596</v>
      </c>
      <c r="F532" t="s">
        <v>38</v>
      </c>
      <c r="N532" t="str">
        <f t="shared" si="8"/>
        <v/>
      </c>
    </row>
    <row r="533" spans="1:14" x14ac:dyDescent="0.2">
      <c r="A533">
        <v>11805077</v>
      </c>
      <c r="B533">
        <v>4</v>
      </c>
      <c r="C533" t="s">
        <v>1689</v>
      </c>
      <c r="D533" t="s">
        <v>1690</v>
      </c>
      <c r="F533" t="s">
        <v>38</v>
      </c>
      <c r="N533" t="str">
        <f t="shared" si="8"/>
        <v/>
      </c>
    </row>
    <row r="534" spans="1:14" x14ac:dyDescent="0.2">
      <c r="A534">
        <v>11805077</v>
      </c>
      <c r="B534">
        <v>4</v>
      </c>
      <c r="C534" t="s">
        <v>1689</v>
      </c>
      <c r="D534" t="s">
        <v>1691</v>
      </c>
      <c r="F534" t="s">
        <v>38</v>
      </c>
      <c r="N534" t="str">
        <f t="shared" si="8"/>
        <v/>
      </c>
    </row>
    <row r="535" spans="1:14" x14ac:dyDescent="0.2">
      <c r="A535">
        <v>11805077</v>
      </c>
      <c r="B535">
        <v>5</v>
      </c>
      <c r="C535" t="s">
        <v>1692</v>
      </c>
      <c r="D535" t="s">
        <v>1693</v>
      </c>
      <c r="F535" t="s">
        <v>44</v>
      </c>
      <c r="J535" t="s">
        <v>10</v>
      </c>
      <c r="N535" t="str">
        <f t="shared" si="8"/>
        <v/>
      </c>
    </row>
    <row r="536" spans="1:14" x14ac:dyDescent="0.2">
      <c r="A536">
        <v>11805077</v>
      </c>
      <c r="B536">
        <v>6</v>
      </c>
      <c r="C536" t="s">
        <v>1694</v>
      </c>
      <c r="D536" t="s">
        <v>1058</v>
      </c>
      <c r="E536" t="s">
        <v>146</v>
      </c>
      <c r="F536" t="s">
        <v>61</v>
      </c>
      <c r="G536" t="s">
        <v>146</v>
      </c>
      <c r="N536" t="str">
        <f t="shared" si="8"/>
        <v>TP</v>
      </c>
    </row>
    <row r="537" spans="1:14" x14ac:dyDescent="0.2">
      <c r="A537">
        <v>11805077</v>
      </c>
      <c r="B537">
        <v>6</v>
      </c>
      <c r="C537" t="s">
        <v>1694</v>
      </c>
      <c r="D537" t="s">
        <v>1695</v>
      </c>
      <c r="E537" t="s">
        <v>146</v>
      </c>
      <c r="F537" t="s">
        <v>99</v>
      </c>
      <c r="G537" t="s">
        <v>146</v>
      </c>
      <c r="N537" t="str">
        <f t="shared" si="8"/>
        <v>TP</v>
      </c>
    </row>
    <row r="538" spans="1:14" x14ac:dyDescent="0.2">
      <c r="A538">
        <v>12038976</v>
      </c>
      <c r="B538">
        <v>0</v>
      </c>
      <c r="C538" t="s">
        <v>1696</v>
      </c>
      <c r="D538" t="s">
        <v>1552</v>
      </c>
      <c r="E538" t="s">
        <v>146</v>
      </c>
      <c r="F538" t="s">
        <v>44</v>
      </c>
      <c r="G538" t="s">
        <v>146</v>
      </c>
      <c r="H538" t="s">
        <v>1553</v>
      </c>
      <c r="I538" t="s">
        <v>1552</v>
      </c>
      <c r="J538" t="s">
        <v>8</v>
      </c>
      <c r="N538" t="str">
        <f t="shared" si="8"/>
        <v>TP</v>
      </c>
    </row>
    <row r="539" spans="1:14" x14ac:dyDescent="0.2">
      <c r="A539">
        <v>12038976</v>
      </c>
      <c r="B539">
        <v>1</v>
      </c>
      <c r="C539" t="s">
        <v>1697</v>
      </c>
      <c r="J539" t="s">
        <v>169</v>
      </c>
      <c r="N539" t="str">
        <f t="shared" si="8"/>
        <v/>
      </c>
    </row>
    <row r="540" spans="1:14" x14ac:dyDescent="0.2">
      <c r="A540">
        <v>12038976</v>
      </c>
      <c r="B540">
        <v>2</v>
      </c>
      <c r="C540" t="s">
        <v>1698</v>
      </c>
      <c r="D540" t="s">
        <v>1281</v>
      </c>
      <c r="F540" t="s">
        <v>38</v>
      </c>
      <c r="N540" t="str">
        <f t="shared" si="8"/>
        <v/>
      </c>
    </row>
    <row r="541" spans="1:14" x14ac:dyDescent="0.2">
      <c r="A541">
        <v>12038976</v>
      </c>
      <c r="B541">
        <v>3</v>
      </c>
      <c r="C541" t="s">
        <v>1699</v>
      </c>
      <c r="D541" t="s">
        <v>1533</v>
      </c>
      <c r="F541" t="s">
        <v>38</v>
      </c>
      <c r="N541" t="str">
        <f t="shared" si="8"/>
        <v/>
      </c>
    </row>
    <row r="542" spans="1:14" x14ac:dyDescent="0.2">
      <c r="A542">
        <v>12038976</v>
      </c>
      <c r="B542">
        <v>4</v>
      </c>
      <c r="C542" t="s">
        <v>1700</v>
      </c>
      <c r="D542" t="s">
        <v>880</v>
      </c>
      <c r="F542" t="s">
        <v>38</v>
      </c>
      <c r="N542" t="str">
        <f t="shared" si="8"/>
        <v/>
      </c>
    </row>
    <row r="543" spans="1:14" x14ac:dyDescent="0.2">
      <c r="A543">
        <v>12038976</v>
      </c>
      <c r="B543">
        <v>4</v>
      </c>
      <c r="C543" t="s">
        <v>1700</v>
      </c>
      <c r="D543" t="s">
        <v>558</v>
      </c>
      <c r="F543" t="s">
        <v>38</v>
      </c>
      <c r="N543" t="str">
        <f t="shared" si="8"/>
        <v/>
      </c>
    </row>
    <row r="544" spans="1:14" x14ac:dyDescent="0.2">
      <c r="A544">
        <v>12038976</v>
      </c>
      <c r="B544">
        <v>4</v>
      </c>
      <c r="C544" t="s">
        <v>1700</v>
      </c>
      <c r="D544" t="s">
        <v>1186</v>
      </c>
      <c r="F544" t="s">
        <v>38</v>
      </c>
      <c r="N544" t="str">
        <f t="shared" si="8"/>
        <v/>
      </c>
    </row>
    <row r="545" spans="1:14" x14ac:dyDescent="0.2">
      <c r="A545">
        <v>12038976</v>
      </c>
      <c r="B545">
        <v>5</v>
      </c>
      <c r="C545" t="s">
        <v>1701</v>
      </c>
      <c r="D545" t="s">
        <v>1702</v>
      </c>
      <c r="E545" t="s">
        <v>146</v>
      </c>
      <c r="F545" t="s">
        <v>99</v>
      </c>
      <c r="G545" t="s">
        <v>146</v>
      </c>
      <c r="N545" t="str">
        <f t="shared" si="8"/>
        <v>TP</v>
      </c>
    </row>
    <row r="546" spans="1:14" x14ac:dyDescent="0.2">
      <c r="A546">
        <v>12038976</v>
      </c>
      <c r="B546">
        <v>6</v>
      </c>
      <c r="C546" t="s">
        <v>1703</v>
      </c>
      <c r="D546" t="s">
        <v>1704</v>
      </c>
      <c r="E546" t="s">
        <v>146</v>
      </c>
      <c r="F546" t="s">
        <v>44</v>
      </c>
      <c r="G546" t="s">
        <v>146</v>
      </c>
      <c r="J546" t="s">
        <v>10</v>
      </c>
      <c r="N546" t="str">
        <f t="shared" si="8"/>
        <v>TP</v>
      </c>
    </row>
    <row r="547" spans="1:14" x14ac:dyDescent="0.2">
      <c r="A547">
        <v>12038976</v>
      </c>
      <c r="B547">
        <v>7</v>
      </c>
      <c r="C547" t="s">
        <v>1705</v>
      </c>
      <c r="D547" t="s">
        <v>1706</v>
      </c>
      <c r="E547" t="s">
        <v>146</v>
      </c>
      <c r="F547" t="s">
        <v>44</v>
      </c>
      <c r="G547" t="s">
        <v>146</v>
      </c>
      <c r="J547" t="s">
        <v>169</v>
      </c>
      <c r="N547" t="str">
        <f t="shared" si="8"/>
        <v>TP</v>
      </c>
    </row>
    <row r="548" spans="1:14" x14ac:dyDescent="0.2">
      <c r="A548">
        <v>12038976</v>
      </c>
      <c r="B548">
        <v>7</v>
      </c>
      <c r="C548" t="s">
        <v>1705</v>
      </c>
      <c r="D548" t="s">
        <v>370</v>
      </c>
      <c r="E548" t="s">
        <v>146</v>
      </c>
      <c r="F548" t="s">
        <v>61</v>
      </c>
      <c r="G548" t="s">
        <v>146</v>
      </c>
      <c r="N548" t="str">
        <f t="shared" si="8"/>
        <v>TP</v>
      </c>
    </row>
    <row r="549" spans="1:14" x14ac:dyDescent="0.2">
      <c r="A549">
        <v>12038976</v>
      </c>
      <c r="B549">
        <v>7</v>
      </c>
      <c r="C549" t="s">
        <v>1705</v>
      </c>
      <c r="D549" t="s">
        <v>868</v>
      </c>
      <c r="F549" t="s">
        <v>38</v>
      </c>
      <c r="N549" t="str">
        <f t="shared" si="8"/>
        <v/>
      </c>
    </row>
    <row r="550" spans="1:14" x14ac:dyDescent="0.2">
      <c r="A550">
        <v>12038976</v>
      </c>
      <c r="B550">
        <v>7</v>
      </c>
      <c r="C550" t="s">
        <v>1705</v>
      </c>
      <c r="D550" t="s">
        <v>1707</v>
      </c>
      <c r="E550" t="s">
        <v>146</v>
      </c>
      <c r="F550" t="s">
        <v>44</v>
      </c>
      <c r="G550" t="s">
        <v>146</v>
      </c>
      <c r="H550" t="s">
        <v>117</v>
      </c>
      <c r="I550" t="s">
        <v>118</v>
      </c>
      <c r="J550" t="s">
        <v>8</v>
      </c>
      <c r="N550" t="str">
        <f t="shared" si="8"/>
        <v>TP</v>
      </c>
    </row>
    <row r="551" spans="1:14" x14ac:dyDescent="0.2">
      <c r="A551">
        <v>12151713</v>
      </c>
      <c r="B551">
        <v>0</v>
      </c>
      <c r="C551" t="s">
        <v>1708</v>
      </c>
      <c r="J551" t="s">
        <v>169</v>
      </c>
      <c r="N551" t="str">
        <f t="shared" si="8"/>
        <v/>
      </c>
    </row>
    <row r="552" spans="1:14" x14ac:dyDescent="0.2">
      <c r="A552">
        <v>12151713</v>
      </c>
      <c r="B552">
        <v>1</v>
      </c>
      <c r="C552" t="s">
        <v>1709</v>
      </c>
      <c r="J552" t="s">
        <v>169</v>
      </c>
      <c r="N552" t="str">
        <f t="shared" si="8"/>
        <v/>
      </c>
    </row>
    <row r="553" spans="1:14" x14ac:dyDescent="0.2">
      <c r="A553">
        <v>12151713</v>
      </c>
      <c r="B553">
        <v>2</v>
      </c>
      <c r="C553" t="s">
        <v>1710</v>
      </c>
      <c r="J553" t="s">
        <v>169</v>
      </c>
      <c r="N553" t="str">
        <f t="shared" si="8"/>
        <v/>
      </c>
    </row>
    <row r="554" spans="1:14" x14ac:dyDescent="0.2">
      <c r="A554">
        <v>12151713</v>
      </c>
      <c r="B554">
        <v>3</v>
      </c>
      <c r="C554" t="s">
        <v>1711</v>
      </c>
      <c r="J554" t="s">
        <v>169</v>
      </c>
      <c r="N554" t="str">
        <f t="shared" si="8"/>
        <v/>
      </c>
    </row>
    <row r="555" spans="1:14" x14ac:dyDescent="0.2">
      <c r="A555">
        <v>12151713</v>
      </c>
      <c r="B555">
        <v>4</v>
      </c>
      <c r="C555" t="s">
        <v>1712</v>
      </c>
      <c r="J555" t="s">
        <v>169</v>
      </c>
      <c r="N555" t="str">
        <f t="shared" si="8"/>
        <v/>
      </c>
    </row>
    <row r="556" spans="1:14" x14ac:dyDescent="0.2">
      <c r="A556">
        <v>12151713</v>
      </c>
      <c r="B556">
        <v>5</v>
      </c>
      <c r="C556" t="s">
        <v>1713</v>
      </c>
      <c r="D556" t="s">
        <v>1714</v>
      </c>
      <c r="E556" t="s">
        <v>146</v>
      </c>
      <c r="F556" t="s">
        <v>44</v>
      </c>
      <c r="G556" t="s">
        <v>146</v>
      </c>
      <c r="J556" t="s">
        <v>10</v>
      </c>
      <c r="N556" t="str">
        <f t="shared" si="8"/>
        <v>TP</v>
      </c>
    </row>
    <row r="557" spans="1:14" x14ac:dyDescent="0.2">
      <c r="A557">
        <v>12151713</v>
      </c>
      <c r="B557">
        <v>5</v>
      </c>
      <c r="C557" t="s">
        <v>1713</v>
      </c>
      <c r="D557" t="s">
        <v>1715</v>
      </c>
      <c r="E557" t="s">
        <v>146</v>
      </c>
      <c r="F557" t="s">
        <v>99</v>
      </c>
      <c r="G557" t="s">
        <v>146</v>
      </c>
      <c r="N557" t="str">
        <f t="shared" si="8"/>
        <v>TP</v>
      </c>
    </row>
    <row r="558" spans="1:14" x14ac:dyDescent="0.2">
      <c r="A558">
        <v>12151713</v>
      </c>
      <c r="B558">
        <v>5</v>
      </c>
      <c r="C558" t="s">
        <v>1713</v>
      </c>
      <c r="D558" t="s">
        <v>1716</v>
      </c>
      <c r="E558" t="s">
        <v>146</v>
      </c>
      <c r="F558" t="s">
        <v>99</v>
      </c>
      <c r="G558" t="s">
        <v>146</v>
      </c>
      <c r="N558" t="str">
        <f t="shared" si="8"/>
        <v>TP</v>
      </c>
    </row>
    <row r="559" spans="1:14" x14ac:dyDescent="0.2">
      <c r="A559">
        <v>12151713</v>
      </c>
      <c r="B559">
        <v>5</v>
      </c>
      <c r="C559" t="s">
        <v>1713</v>
      </c>
      <c r="D559" t="s">
        <v>370</v>
      </c>
      <c r="E559" t="s">
        <v>146</v>
      </c>
      <c r="F559" t="s">
        <v>61</v>
      </c>
      <c r="G559" t="s">
        <v>146</v>
      </c>
      <c r="N559" t="str">
        <f t="shared" si="8"/>
        <v>TP</v>
      </c>
    </row>
    <row r="560" spans="1:14" x14ac:dyDescent="0.2">
      <c r="A560">
        <v>12151713</v>
      </c>
      <c r="B560">
        <v>5</v>
      </c>
      <c r="C560" t="s">
        <v>1713</v>
      </c>
      <c r="D560" t="s">
        <v>868</v>
      </c>
      <c r="F560" t="s">
        <v>38</v>
      </c>
      <c r="N560" t="str">
        <f t="shared" si="8"/>
        <v/>
      </c>
    </row>
    <row r="561" spans="1:14" x14ac:dyDescent="0.2">
      <c r="A561">
        <v>12151713</v>
      </c>
      <c r="B561">
        <v>5</v>
      </c>
      <c r="C561" t="s">
        <v>1713</v>
      </c>
      <c r="D561" t="s">
        <v>1717</v>
      </c>
      <c r="E561" t="s">
        <v>146</v>
      </c>
      <c r="F561" t="s">
        <v>44</v>
      </c>
      <c r="G561" t="s">
        <v>146</v>
      </c>
      <c r="H561" t="s">
        <v>325</v>
      </c>
      <c r="I561" t="s">
        <v>326</v>
      </c>
      <c r="J561" t="s">
        <v>8</v>
      </c>
      <c r="N561" t="str">
        <f t="shared" si="8"/>
        <v>TP</v>
      </c>
    </row>
    <row r="562" spans="1:14" x14ac:dyDescent="0.2">
      <c r="A562">
        <v>14693913</v>
      </c>
      <c r="B562">
        <v>0</v>
      </c>
      <c r="C562" t="s">
        <v>1718</v>
      </c>
      <c r="N562" t="str">
        <f t="shared" si="8"/>
        <v/>
      </c>
    </row>
    <row r="563" spans="1:14" x14ac:dyDescent="0.2">
      <c r="A563">
        <v>14693913</v>
      </c>
      <c r="B563">
        <v>1</v>
      </c>
      <c r="C563" t="s">
        <v>1719</v>
      </c>
      <c r="J563" t="s">
        <v>169</v>
      </c>
      <c r="N563" t="str">
        <f t="shared" si="8"/>
        <v/>
      </c>
    </row>
    <row r="564" spans="1:14" x14ac:dyDescent="0.2">
      <c r="A564">
        <v>14693913</v>
      </c>
      <c r="B564">
        <v>2</v>
      </c>
      <c r="C564" t="s">
        <v>1720</v>
      </c>
      <c r="D564" t="s">
        <v>1721</v>
      </c>
      <c r="E564" t="s">
        <v>146</v>
      </c>
      <c r="F564" t="s">
        <v>605</v>
      </c>
      <c r="G564" t="s">
        <v>146</v>
      </c>
      <c r="N564" t="str">
        <f t="shared" si="8"/>
        <v>TP</v>
      </c>
    </row>
    <row r="565" spans="1:14" x14ac:dyDescent="0.2">
      <c r="A565">
        <v>14693913</v>
      </c>
      <c r="B565">
        <v>2</v>
      </c>
      <c r="C565" t="s">
        <v>1720</v>
      </c>
      <c r="D565" t="s">
        <v>1722</v>
      </c>
      <c r="E565" t="s">
        <v>146</v>
      </c>
      <c r="F565" t="s">
        <v>605</v>
      </c>
      <c r="G565" t="s">
        <v>146</v>
      </c>
      <c r="N565" t="str">
        <f t="shared" si="8"/>
        <v>TP</v>
      </c>
    </row>
    <row r="566" spans="1:14" x14ac:dyDescent="0.2">
      <c r="A566">
        <v>14693913</v>
      </c>
      <c r="B566">
        <v>3</v>
      </c>
      <c r="C566" t="s">
        <v>354</v>
      </c>
      <c r="J566" t="s">
        <v>169</v>
      </c>
      <c r="N566" t="str">
        <f t="shared" si="8"/>
        <v/>
      </c>
    </row>
    <row r="567" spans="1:14" x14ac:dyDescent="0.2">
      <c r="A567">
        <v>14693913</v>
      </c>
      <c r="B567">
        <v>4</v>
      </c>
      <c r="C567" t="s">
        <v>1723</v>
      </c>
      <c r="J567" t="s">
        <v>169</v>
      </c>
      <c r="N567" t="str">
        <f t="shared" si="8"/>
        <v/>
      </c>
    </row>
    <row r="568" spans="1:14" x14ac:dyDescent="0.2">
      <c r="A568">
        <v>14693913</v>
      </c>
      <c r="B568">
        <v>5</v>
      </c>
      <c r="C568" t="s">
        <v>1724</v>
      </c>
      <c r="J568" t="s">
        <v>169</v>
      </c>
      <c r="N568" t="str">
        <f t="shared" si="8"/>
        <v/>
      </c>
    </row>
    <row r="569" spans="1:14" x14ac:dyDescent="0.2">
      <c r="A569">
        <v>14693913</v>
      </c>
      <c r="B569">
        <v>6</v>
      </c>
      <c r="C569" t="s">
        <v>1725</v>
      </c>
      <c r="D569" t="s">
        <v>1726</v>
      </c>
      <c r="E569" t="s">
        <v>146</v>
      </c>
      <c r="F569" t="s">
        <v>44</v>
      </c>
      <c r="G569" t="s">
        <v>146</v>
      </c>
      <c r="J569" t="s">
        <v>10</v>
      </c>
      <c r="N569" t="str">
        <f t="shared" si="8"/>
        <v>TP</v>
      </c>
    </row>
    <row r="570" spans="1:14" x14ac:dyDescent="0.2">
      <c r="A570">
        <v>14693913</v>
      </c>
      <c r="B570">
        <v>7</v>
      </c>
      <c r="C570" t="s">
        <v>1727</v>
      </c>
      <c r="D570" t="s">
        <v>1728</v>
      </c>
      <c r="F570" t="s">
        <v>38</v>
      </c>
      <c r="N570" t="str">
        <f t="shared" si="8"/>
        <v/>
      </c>
    </row>
    <row r="571" spans="1:14" x14ac:dyDescent="0.2">
      <c r="A571">
        <v>14693913</v>
      </c>
      <c r="B571">
        <v>7</v>
      </c>
      <c r="C571" t="s">
        <v>1727</v>
      </c>
      <c r="D571" t="s">
        <v>1729</v>
      </c>
      <c r="E571" t="s">
        <v>146</v>
      </c>
      <c r="F571" t="s">
        <v>99</v>
      </c>
      <c r="G571" t="s">
        <v>146</v>
      </c>
      <c r="N571" t="str">
        <f t="shared" si="8"/>
        <v>TP</v>
      </c>
    </row>
    <row r="572" spans="1:14" x14ac:dyDescent="0.2">
      <c r="A572">
        <v>14693913</v>
      </c>
      <c r="B572">
        <v>7</v>
      </c>
      <c r="C572" t="s">
        <v>1727</v>
      </c>
      <c r="D572" t="s">
        <v>1730</v>
      </c>
      <c r="E572" t="s">
        <v>146</v>
      </c>
      <c r="F572" t="s">
        <v>99</v>
      </c>
      <c r="G572" t="s">
        <v>146</v>
      </c>
      <c r="N572" t="str">
        <f t="shared" si="8"/>
        <v>TP</v>
      </c>
    </row>
    <row r="573" spans="1:14" x14ac:dyDescent="0.2">
      <c r="A573">
        <v>14693913</v>
      </c>
      <c r="B573">
        <v>7</v>
      </c>
      <c r="C573" t="s">
        <v>1727</v>
      </c>
      <c r="D573" t="s">
        <v>1731</v>
      </c>
      <c r="E573" t="s">
        <v>146</v>
      </c>
      <c r="F573" t="s">
        <v>99</v>
      </c>
      <c r="G573" t="s">
        <v>146</v>
      </c>
      <c r="N573" t="str">
        <f t="shared" si="8"/>
        <v>TP</v>
      </c>
    </row>
    <row r="574" spans="1:14" x14ac:dyDescent="0.2">
      <c r="A574">
        <v>14693913</v>
      </c>
      <c r="B574">
        <v>8</v>
      </c>
      <c r="C574" t="s">
        <v>1732</v>
      </c>
      <c r="D574" t="s">
        <v>1733</v>
      </c>
      <c r="E574" t="s">
        <v>146</v>
      </c>
      <c r="F574" t="s">
        <v>44</v>
      </c>
      <c r="G574" t="s">
        <v>146</v>
      </c>
      <c r="J574" t="s">
        <v>169</v>
      </c>
      <c r="K574" t="s">
        <v>159</v>
      </c>
      <c r="N574" t="str">
        <f t="shared" si="8"/>
        <v>TP</v>
      </c>
    </row>
    <row r="575" spans="1:14" x14ac:dyDescent="0.2">
      <c r="A575">
        <v>14693913</v>
      </c>
      <c r="B575">
        <v>8</v>
      </c>
      <c r="C575" t="s">
        <v>1732</v>
      </c>
      <c r="D575" t="s">
        <v>1734</v>
      </c>
      <c r="E575" t="s">
        <v>146</v>
      </c>
      <c r="F575" t="s">
        <v>99</v>
      </c>
      <c r="G575" t="s">
        <v>146</v>
      </c>
      <c r="N575" t="str">
        <f t="shared" si="8"/>
        <v>TP</v>
      </c>
    </row>
    <row r="576" spans="1:14" x14ac:dyDescent="0.2">
      <c r="A576">
        <v>14693913</v>
      </c>
      <c r="B576">
        <v>8</v>
      </c>
      <c r="C576" t="s">
        <v>1732</v>
      </c>
      <c r="D576" t="s">
        <v>1735</v>
      </c>
      <c r="E576" t="s">
        <v>146</v>
      </c>
      <c r="F576" t="s">
        <v>44</v>
      </c>
      <c r="G576" t="s">
        <v>146</v>
      </c>
      <c r="J576" t="s">
        <v>169</v>
      </c>
      <c r="K576" t="s">
        <v>159</v>
      </c>
      <c r="N576" t="str">
        <f t="shared" si="8"/>
        <v>TP</v>
      </c>
    </row>
    <row r="577" spans="1:14" x14ac:dyDescent="0.2">
      <c r="A577">
        <v>14693913</v>
      </c>
      <c r="B577">
        <v>9</v>
      </c>
      <c r="C577" t="s">
        <v>1736</v>
      </c>
      <c r="D577" t="s">
        <v>1737</v>
      </c>
      <c r="E577" t="s">
        <v>146</v>
      </c>
      <c r="F577" t="s">
        <v>44</v>
      </c>
      <c r="G577" t="s">
        <v>146</v>
      </c>
      <c r="J577" t="s">
        <v>10</v>
      </c>
      <c r="N577" t="str">
        <f t="shared" si="8"/>
        <v>TP</v>
      </c>
    </row>
    <row r="578" spans="1:14" x14ac:dyDescent="0.2">
      <c r="A578">
        <v>14693913</v>
      </c>
      <c r="B578">
        <v>9</v>
      </c>
      <c r="C578" t="s">
        <v>1736</v>
      </c>
      <c r="D578" t="s">
        <v>1738</v>
      </c>
      <c r="E578" t="s">
        <v>167</v>
      </c>
      <c r="F578" t="s">
        <v>61</v>
      </c>
      <c r="G578" t="s">
        <v>167</v>
      </c>
      <c r="N578" t="str">
        <f t="shared" si="8"/>
        <v>FP</v>
      </c>
    </row>
    <row r="579" spans="1:14" x14ac:dyDescent="0.2">
      <c r="A579">
        <v>14693913</v>
      </c>
      <c r="B579">
        <v>9</v>
      </c>
      <c r="C579" t="s">
        <v>1736</v>
      </c>
      <c r="D579" t="s">
        <v>1739</v>
      </c>
      <c r="E579" t="s">
        <v>146</v>
      </c>
      <c r="F579" t="s">
        <v>44</v>
      </c>
      <c r="G579" t="s">
        <v>146</v>
      </c>
      <c r="J579" t="s">
        <v>10</v>
      </c>
      <c r="N579" t="str">
        <f t="shared" ref="N579:N625" si="9">IF(OR(E579="FP",G579="FP"),"FP",IF(AND(E579="TP",E579="TP"),"TP",""))</f>
        <v>TP</v>
      </c>
    </row>
    <row r="580" spans="1:14" x14ac:dyDescent="0.2">
      <c r="A580">
        <v>14693913</v>
      </c>
      <c r="B580">
        <v>10</v>
      </c>
      <c r="C580" t="s">
        <v>1740</v>
      </c>
      <c r="D580" t="s">
        <v>1741</v>
      </c>
      <c r="E580" t="s">
        <v>146</v>
      </c>
      <c r="F580" t="s">
        <v>44</v>
      </c>
      <c r="G580" t="s">
        <v>146</v>
      </c>
      <c r="J580" t="s">
        <v>169</v>
      </c>
      <c r="N580" t="str">
        <f t="shared" si="9"/>
        <v>TP</v>
      </c>
    </row>
    <row r="581" spans="1:14" x14ac:dyDescent="0.2">
      <c r="A581">
        <v>14693913</v>
      </c>
      <c r="B581">
        <v>10</v>
      </c>
      <c r="C581" t="s">
        <v>1740</v>
      </c>
      <c r="D581" t="s">
        <v>1742</v>
      </c>
      <c r="E581" t="s">
        <v>167</v>
      </c>
      <c r="F581" t="s">
        <v>44</v>
      </c>
      <c r="G581" t="s">
        <v>167</v>
      </c>
      <c r="J581" t="s">
        <v>169</v>
      </c>
      <c r="N581" t="str">
        <f t="shared" si="9"/>
        <v>FP</v>
      </c>
    </row>
    <row r="582" spans="1:14" x14ac:dyDescent="0.2">
      <c r="A582">
        <v>14769026</v>
      </c>
      <c r="B582">
        <v>0</v>
      </c>
      <c r="C582" t="s">
        <v>1743</v>
      </c>
      <c r="J582" t="s">
        <v>169</v>
      </c>
      <c r="N582" t="str">
        <f t="shared" si="9"/>
        <v/>
      </c>
    </row>
    <row r="583" spans="1:14" x14ac:dyDescent="0.2">
      <c r="A583">
        <v>14769026</v>
      </c>
      <c r="B583">
        <v>1</v>
      </c>
      <c r="C583" t="s">
        <v>1744</v>
      </c>
      <c r="J583" t="s">
        <v>169</v>
      </c>
      <c r="N583" t="str">
        <f t="shared" si="9"/>
        <v/>
      </c>
    </row>
    <row r="584" spans="1:14" x14ac:dyDescent="0.2">
      <c r="A584">
        <v>14769026</v>
      </c>
      <c r="B584">
        <v>2</v>
      </c>
      <c r="C584" t="s">
        <v>1745</v>
      </c>
      <c r="J584" t="s">
        <v>169</v>
      </c>
      <c r="N584" t="str">
        <f t="shared" si="9"/>
        <v/>
      </c>
    </row>
    <row r="585" spans="1:14" x14ac:dyDescent="0.2">
      <c r="A585">
        <v>14769026</v>
      </c>
      <c r="B585">
        <v>3</v>
      </c>
      <c r="C585" t="s">
        <v>1746</v>
      </c>
      <c r="J585" t="s">
        <v>169</v>
      </c>
      <c r="N585" t="str">
        <f t="shared" si="9"/>
        <v/>
      </c>
    </row>
    <row r="586" spans="1:14" x14ac:dyDescent="0.2">
      <c r="A586">
        <v>14769026</v>
      </c>
      <c r="B586">
        <v>4</v>
      </c>
      <c r="C586" t="s">
        <v>1747</v>
      </c>
      <c r="J586" t="s">
        <v>169</v>
      </c>
      <c r="N586" t="str">
        <f t="shared" si="9"/>
        <v/>
      </c>
    </row>
    <row r="587" spans="1:14" x14ac:dyDescent="0.2">
      <c r="A587">
        <v>14769026</v>
      </c>
      <c r="B587">
        <v>5</v>
      </c>
      <c r="C587" t="s">
        <v>1748</v>
      </c>
      <c r="J587" t="s">
        <v>169</v>
      </c>
      <c r="N587" t="str">
        <f t="shared" si="9"/>
        <v/>
      </c>
    </row>
    <row r="588" spans="1:14" x14ac:dyDescent="0.2">
      <c r="A588">
        <v>14769026</v>
      </c>
      <c r="B588">
        <v>6</v>
      </c>
      <c r="C588" t="s">
        <v>1749</v>
      </c>
      <c r="J588" t="s">
        <v>169</v>
      </c>
      <c r="N588" t="str">
        <f t="shared" si="9"/>
        <v/>
      </c>
    </row>
    <row r="589" spans="1:14" x14ac:dyDescent="0.2">
      <c r="A589">
        <v>14769026</v>
      </c>
      <c r="B589">
        <v>7</v>
      </c>
      <c r="C589" t="s">
        <v>1750</v>
      </c>
      <c r="J589" t="s">
        <v>169</v>
      </c>
      <c r="N589" t="str">
        <f t="shared" si="9"/>
        <v/>
      </c>
    </row>
    <row r="590" spans="1:14" x14ac:dyDescent="0.2">
      <c r="A590">
        <v>14769026</v>
      </c>
      <c r="B590">
        <v>8</v>
      </c>
      <c r="C590" t="s">
        <v>1751</v>
      </c>
      <c r="D590" t="s">
        <v>884</v>
      </c>
      <c r="F590" t="s">
        <v>38</v>
      </c>
      <c r="N590" t="str">
        <f t="shared" si="9"/>
        <v/>
      </c>
    </row>
    <row r="591" spans="1:14" x14ac:dyDescent="0.2">
      <c r="A591">
        <v>14769026</v>
      </c>
      <c r="B591">
        <v>9</v>
      </c>
      <c r="C591" t="s">
        <v>1752</v>
      </c>
      <c r="J591" t="s">
        <v>169</v>
      </c>
      <c r="N591" t="str">
        <f t="shared" si="9"/>
        <v/>
      </c>
    </row>
    <row r="592" spans="1:14" x14ac:dyDescent="0.2">
      <c r="A592">
        <v>14769026</v>
      </c>
      <c r="B592">
        <v>10</v>
      </c>
      <c r="C592" t="s">
        <v>1753</v>
      </c>
      <c r="D592" t="s">
        <v>1453</v>
      </c>
      <c r="F592" t="s">
        <v>38</v>
      </c>
      <c r="N592" t="str">
        <f t="shared" si="9"/>
        <v/>
      </c>
    </row>
    <row r="593" spans="1:14" x14ac:dyDescent="0.2">
      <c r="A593">
        <v>14769026</v>
      </c>
      <c r="B593">
        <v>10</v>
      </c>
      <c r="C593" t="s">
        <v>1753</v>
      </c>
      <c r="D593" t="s">
        <v>1754</v>
      </c>
      <c r="F593" t="s">
        <v>38</v>
      </c>
      <c r="N593" t="str">
        <f t="shared" si="9"/>
        <v/>
      </c>
    </row>
    <row r="594" spans="1:14" x14ac:dyDescent="0.2">
      <c r="A594">
        <v>14769026</v>
      </c>
      <c r="B594">
        <v>11</v>
      </c>
      <c r="C594" t="s">
        <v>1755</v>
      </c>
      <c r="N594" t="str">
        <f t="shared" si="9"/>
        <v/>
      </c>
    </row>
    <row r="595" spans="1:14" x14ac:dyDescent="0.2">
      <c r="A595">
        <v>14769026</v>
      </c>
      <c r="B595">
        <v>12</v>
      </c>
      <c r="C595" t="s">
        <v>1756</v>
      </c>
      <c r="J595" t="s">
        <v>169</v>
      </c>
      <c r="N595" t="str">
        <f t="shared" si="9"/>
        <v/>
      </c>
    </row>
    <row r="596" spans="1:14" x14ac:dyDescent="0.2">
      <c r="A596">
        <v>15454184</v>
      </c>
      <c r="B596">
        <v>0</v>
      </c>
      <c r="C596" t="s">
        <v>1757</v>
      </c>
      <c r="J596" t="s">
        <v>169</v>
      </c>
      <c r="N596" t="str">
        <f t="shared" si="9"/>
        <v/>
      </c>
    </row>
    <row r="597" spans="1:14" x14ac:dyDescent="0.2">
      <c r="A597">
        <v>15454184</v>
      </c>
      <c r="B597">
        <v>1</v>
      </c>
      <c r="C597" t="s">
        <v>1758</v>
      </c>
      <c r="J597" t="s">
        <v>169</v>
      </c>
      <c r="N597" t="str">
        <f t="shared" si="9"/>
        <v/>
      </c>
    </row>
    <row r="598" spans="1:14" x14ac:dyDescent="0.2">
      <c r="A598">
        <v>15454184</v>
      </c>
      <c r="B598">
        <v>2</v>
      </c>
      <c r="C598" t="s">
        <v>1759</v>
      </c>
      <c r="J598" t="s">
        <v>169</v>
      </c>
      <c r="N598" t="str">
        <f t="shared" si="9"/>
        <v/>
      </c>
    </row>
    <row r="599" spans="1:14" x14ac:dyDescent="0.2">
      <c r="A599">
        <v>15454184</v>
      </c>
      <c r="B599">
        <v>4</v>
      </c>
      <c r="C599" t="s">
        <v>1760</v>
      </c>
      <c r="J599" t="s">
        <v>169</v>
      </c>
      <c r="N599" t="str">
        <f t="shared" si="9"/>
        <v/>
      </c>
    </row>
    <row r="600" spans="1:14" x14ac:dyDescent="0.2">
      <c r="A600">
        <v>15454184</v>
      </c>
      <c r="B600">
        <v>5</v>
      </c>
      <c r="C600" t="s">
        <v>1761</v>
      </c>
      <c r="J600" t="s">
        <v>169</v>
      </c>
      <c r="N600" t="str">
        <f t="shared" si="9"/>
        <v/>
      </c>
    </row>
    <row r="601" spans="1:14" x14ac:dyDescent="0.2">
      <c r="A601">
        <v>15454184</v>
      </c>
      <c r="B601">
        <v>6</v>
      </c>
      <c r="C601" t="s">
        <v>1762</v>
      </c>
      <c r="D601" t="s">
        <v>1763</v>
      </c>
      <c r="F601" t="s">
        <v>38</v>
      </c>
      <c r="N601" t="str">
        <f t="shared" si="9"/>
        <v/>
      </c>
    </row>
    <row r="602" spans="1:14" x14ac:dyDescent="0.2">
      <c r="A602">
        <v>15454184</v>
      </c>
      <c r="B602">
        <v>6</v>
      </c>
      <c r="C602" t="s">
        <v>1762</v>
      </c>
      <c r="D602" t="s">
        <v>1764</v>
      </c>
      <c r="E602" t="s">
        <v>146</v>
      </c>
      <c r="F602" t="s">
        <v>44</v>
      </c>
      <c r="G602" t="s">
        <v>146</v>
      </c>
      <c r="J602" t="s">
        <v>10</v>
      </c>
      <c r="K602" t="s">
        <v>159</v>
      </c>
      <c r="N602" t="str">
        <f t="shared" si="9"/>
        <v>TP</v>
      </c>
    </row>
    <row r="603" spans="1:14" x14ac:dyDescent="0.2">
      <c r="A603">
        <v>15454184</v>
      </c>
      <c r="B603">
        <v>6</v>
      </c>
      <c r="C603" t="s">
        <v>1762</v>
      </c>
      <c r="D603" t="s">
        <v>1765</v>
      </c>
      <c r="E603" t="s">
        <v>146</v>
      </c>
      <c r="F603" t="s">
        <v>44</v>
      </c>
      <c r="G603" t="s">
        <v>146</v>
      </c>
      <c r="J603" t="s">
        <v>10</v>
      </c>
      <c r="K603" t="s">
        <v>159</v>
      </c>
      <c r="N603" t="str">
        <f t="shared" si="9"/>
        <v>TP</v>
      </c>
    </row>
    <row r="604" spans="1:14" x14ac:dyDescent="0.2">
      <c r="A604">
        <v>15454184</v>
      </c>
      <c r="B604">
        <v>7</v>
      </c>
      <c r="C604" t="s">
        <v>1766</v>
      </c>
      <c r="D604" t="s">
        <v>197</v>
      </c>
      <c r="F604" t="s">
        <v>38</v>
      </c>
      <c r="N604" t="str">
        <f t="shared" si="9"/>
        <v/>
      </c>
    </row>
    <row r="605" spans="1:14" x14ac:dyDescent="0.2">
      <c r="A605">
        <v>15454184</v>
      </c>
      <c r="B605">
        <v>7</v>
      </c>
      <c r="C605" t="s">
        <v>1766</v>
      </c>
      <c r="D605" t="s">
        <v>558</v>
      </c>
      <c r="F605" t="s">
        <v>38</v>
      </c>
      <c r="N605" t="str">
        <f t="shared" si="9"/>
        <v/>
      </c>
    </row>
    <row r="606" spans="1:14" x14ac:dyDescent="0.2">
      <c r="A606">
        <v>15454184</v>
      </c>
      <c r="B606">
        <v>7</v>
      </c>
      <c r="C606" t="s">
        <v>1766</v>
      </c>
      <c r="D606" t="s">
        <v>558</v>
      </c>
      <c r="F606" t="s">
        <v>38</v>
      </c>
      <c r="N606" t="str">
        <f t="shared" si="9"/>
        <v/>
      </c>
    </row>
    <row r="607" spans="1:14" x14ac:dyDescent="0.2">
      <c r="A607">
        <v>15454184</v>
      </c>
      <c r="B607">
        <v>8</v>
      </c>
      <c r="C607" t="s">
        <v>1767</v>
      </c>
      <c r="J607" t="s">
        <v>169</v>
      </c>
      <c r="N607" t="str">
        <f t="shared" si="9"/>
        <v/>
      </c>
    </row>
    <row r="608" spans="1:14" x14ac:dyDescent="0.2">
      <c r="A608">
        <v>15454184</v>
      </c>
      <c r="B608">
        <v>9</v>
      </c>
      <c r="C608" t="s">
        <v>1768</v>
      </c>
      <c r="D608" t="s">
        <v>1769</v>
      </c>
      <c r="E608" t="s">
        <v>146</v>
      </c>
      <c r="F608" t="s">
        <v>44</v>
      </c>
      <c r="G608" t="s">
        <v>146</v>
      </c>
      <c r="J608" t="s">
        <v>10</v>
      </c>
      <c r="N608" t="str">
        <f t="shared" si="9"/>
        <v>TP</v>
      </c>
    </row>
    <row r="609" spans="1:14" x14ac:dyDescent="0.2">
      <c r="A609">
        <v>15454184</v>
      </c>
      <c r="B609">
        <v>9</v>
      </c>
      <c r="C609" t="s">
        <v>1768</v>
      </c>
      <c r="D609" t="s">
        <v>558</v>
      </c>
      <c r="F609" t="s">
        <v>38</v>
      </c>
      <c r="N609" t="str">
        <f t="shared" si="9"/>
        <v/>
      </c>
    </row>
    <row r="610" spans="1:14" x14ac:dyDescent="0.2">
      <c r="A610">
        <v>15454184</v>
      </c>
      <c r="B610">
        <v>9</v>
      </c>
      <c r="C610" t="s">
        <v>1768</v>
      </c>
      <c r="D610" t="s">
        <v>1770</v>
      </c>
      <c r="E610" t="s">
        <v>146</v>
      </c>
      <c r="F610" t="s">
        <v>44</v>
      </c>
      <c r="G610" t="s">
        <v>146</v>
      </c>
      <c r="H610" t="s">
        <v>1408</v>
      </c>
      <c r="I610" t="s">
        <v>1409</v>
      </c>
      <c r="J610" t="s">
        <v>8</v>
      </c>
      <c r="N610" t="str">
        <f t="shared" si="9"/>
        <v>TP</v>
      </c>
    </row>
    <row r="611" spans="1:14" x14ac:dyDescent="0.2">
      <c r="A611">
        <v>15536627</v>
      </c>
      <c r="B611">
        <v>0</v>
      </c>
      <c r="C611" t="s">
        <v>1771</v>
      </c>
      <c r="D611" t="s">
        <v>884</v>
      </c>
      <c r="F611" t="s">
        <v>38</v>
      </c>
      <c r="N611" t="str">
        <f t="shared" si="9"/>
        <v/>
      </c>
    </row>
    <row r="612" spans="1:14" x14ac:dyDescent="0.2">
      <c r="A612">
        <v>15536627</v>
      </c>
      <c r="B612">
        <v>1</v>
      </c>
      <c r="C612" t="s">
        <v>1772</v>
      </c>
      <c r="D612" t="s">
        <v>884</v>
      </c>
      <c r="F612" t="s">
        <v>38</v>
      </c>
      <c r="N612" t="str">
        <f t="shared" si="9"/>
        <v/>
      </c>
    </row>
    <row r="613" spans="1:14" x14ac:dyDescent="0.2">
      <c r="A613">
        <v>15536627</v>
      </c>
      <c r="B613">
        <v>2</v>
      </c>
      <c r="C613" t="s">
        <v>1773</v>
      </c>
      <c r="J613" t="s">
        <v>169</v>
      </c>
      <c r="N613" t="str">
        <f t="shared" si="9"/>
        <v/>
      </c>
    </row>
    <row r="614" spans="1:14" x14ac:dyDescent="0.2">
      <c r="A614">
        <v>15536627</v>
      </c>
      <c r="B614">
        <v>3</v>
      </c>
      <c r="C614" t="s">
        <v>1774</v>
      </c>
      <c r="D614" t="s">
        <v>334</v>
      </c>
      <c r="F614" t="s">
        <v>38</v>
      </c>
      <c r="N614" t="str">
        <f t="shared" si="9"/>
        <v/>
      </c>
    </row>
    <row r="615" spans="1:14" x14ac:dyDescent="0.2">
      <c r="A615">
        <v>15536627</v>
      </c>
      <c r="B615">
        <v>3</v>
      </c>
      <c r="C615" t="s">
        <v>1774</v>
      </c>
      <c r="D615" t="s">
        <v>558</v>
      </c>
      <c r="F615" t="s">
        <v>38</v>
      </c>
      <c r="N615" t="str">
        <f t="shared" si="9"/>
        <v/>
      </c>
    </row>
    <row r="616" spans="1:14" x14ac:dyDescent="0.2">
      <c r="A616">
        <v>15536627</v>
      </c>
      <c r="B616">
        <v>3</v>
      </c>
      <c r="C616" t="s">
        <v>1774</v>
      </c>
      <c r="D616" t="s">
        <v>1775</v>
      </c>
      <c r="E616" t="s">
        <v>146</v>
      </c>
      <c r="F616" t="s">
        <v>44</v>
      </c>
      <c r="G616" t="s">
        <v>146</v>
      </c>
      <c r="J616" t="s">
        <v>10</v>
      </c>
      <c r="N616" t="str">
        <f t="shared" si="9"/>
        <v>TP</v>
      </c>
    </row>
    <row r="617" spans="1:14" x14ac:dyDescent="0.2">
      <c r="A617">
        <v>15536627</v>
      </c>
      <c r="B617">
        <v>4</v>
      </c>
      <c r="C617" t="s">
        <v>1776</v>
      </c>
      <c r="D617" t="s">
        <v>1476</v>
      </c>
      <c r="F617" t="s">
        <v>38</v>
      </c>
      <c r="N617" t="str">
        <f t="shared" si="9"/>
        <v/>
      </c>
    </row>
    <row r="618" spans="1:14" x14ac:dyDescent="0.2">
      <c r="A618">
        <v>15536627</v>
      </c>
      <c r="B618">
        <v>4</v>
      </c>
      <c r="C618" t="s">
        <v>1776</v>
      </c>
      <c r="D618" t="s">
        <v>1476</v>
      </c>
      <c r="F618" t="s">
        <v>38</v>
      </c>
      <c r="N618" t="str">
        <f t="shared" si="9"/>
        <v/>
      </c>
    </row>
    <row r="619" spans="1:14" x14ac:dyDescent="0.2">
      <c r="A619">
        <v>15536627</v>
      </c>
      <c r="B619">
        <v>5</v>
      </c>
      <c r="C619" t="s">
        <v>1777</v>
      </c>
      <c r="D619" t="s">
        <v>312</v>
      </c>
      <c r="F619" t="s">
        <v>38</v>
      </c>
      <c r="N619" t="str">
        <f t="shared" si="9"/>
        <v/>
      </c>
    </row>
    <row r="620" spans="1:14" x14ac:dyDescent="0.2">
      <c r="A620">
        <v>15536627</v>
      </c>
      <c r="B620">
        <v>5</v>
      </c>
      <c r="C620" t="s">
        <v>1777</v>
      </c>
      <c r="D620" t="s">
        <v>1778</v>
      </c>
      <c r="E620" t="s">
        <v>146</v>
      </c>
      <c r="F620" t="s">
        <v>61</v>
      </c>
      <c r="G620" t="s">
        <v>146</v>
      </c>
      <c r="N620" t="str">
        <f t="shared" si="9"/>
        <v>TP</v>
      </c>
    </row>
    <row r="621" spans="1:14" x14ac:dyDescent="0.2">
      <c r="A621">
        <v>15536627</v>
      </c>
      <c r="B621">
        <v>5</v>
      </c>
      <c r="C621" t="s">
        <v>1777</v>
      </c>
      <c r="D621" t="s">
        <v>1779</v>
      </c>
      <c r="E621" t="s">
        <v>146</v>
      </c>
      <c r="F621" t="s">
        <v>61</v>
      </c>
      <c r="G621" t="s">
        <v>146</v>
      </c>
      <c r="N621" t="str">
        <f t="shared" si="9"/>
        <v>TP</v>
      </c>
    </row>
    <row r="622" spans="1:14" x14ac:dyDescent="0.2">
      <c r="A622">
        <v>15536627</v>
      </c>
      <c r="B622">
        <v>5</v>
      </c>
      <c r="C622" t="s">
        <v>1777</v>
      </c>
      <c r="D622" t="s">
        <v>1780</v>
      </c>
      <c r="E622" t="s">
        <v>146</v>
      </c>
      <c r="F622" t="s">
        <v>61</v>
      </c>
      <c r="G622" t="s">
        <v>146</v>
      </c>
      <c r="N622" t="str">
        <f t="shared" si="9"/>
        <v>TP</v>
      </c>
    </row>
    <row r="623" spans="1:14" x14ac:dyDescent="0.2">
      <c r="A623">
        <v>15536627</v>
      </c>
      <c r="B623">
        <v>5</v>
      </c>
      <c r="C623" t="s">
        <v>1777</v>
      </c>
      <c r="D623" t="s">
        <v>1781</v>
      </c>
      <c r="E623" t="s">
        <v>146</v>
      </c>
      <c r="F623" t="s">
        <v>61</v>
      </c>
      <c r="G623" t="s">
        <v>146</v>
      </c>
      <c r="N623" t="str">
        <f t="shared" si="9"/>
        <v>TP</v>
      </c>
    </row>
    <row r="624" spans="1:14" x14ac:dyDescent="0.2">
      <c r="A624">
        <v>15536627</v>
      </c>
      <c r="B624">
        <v>5</v>
      </c>
      <c r="C624" t="s">
        <v>1777</v>
      </c>
      <c r="D624" t="s">
        <v>1782</v>
      </c>
      <c r="E624" t="s">
        <v>146</v>
      </c>
      <c r="F624" t="s">
        <v>44</v>
      </c>
      <c r="G624" t="s">
        <v>146</v>
      </c>
      <c r="H624" t="s">
        <v>363</v>
      </c>
      <c r="I624" t="s">
        <v>364</v>
      </c>
      <c r="J624" t="s">
        <v>8</v>
      </c>
      <c r="N624" t="str">
        <f t="shared" si="9"/>
        <v>TP</v>
      </c>
    </row>
    <row r="625" spans="1:15" x14ac:dyDescent="0.2">
      <c r="A625">
        <v>15536627</v>
      </c>
      <c r="B625">
        <v>6</v>
      </c>
      <c r="C625" t="s">
        <v>1783</v>
      </c>
      <c r="D625" t="s">
        <v>1784</v>
      </c>
      <c r="E625" t="s">
        <v>146</v>
      </c>
      <c r="F625" t="s">
        <v>44</v>
      </c>
      <c r="G625" t="s">
        <v>167</v>
      </c>
      <c r="J625" t="s">
        <v>10</v>
      </c>
      <c r="M625" t="s">
        <v>1803</v>
      </c>
      <c r="N625" t="str">
        <f t="shared" si="9"/>
        <v>FP</v>
      </c>
      <c r="O625" t="s">
        <v>1992</v>
      </c>
    </row>
  </sheetData>
  <autoFilter ref="A1:N625" xr:uid="{7482B1E4-F3A4-C348-A373-62C9BBB63F3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35024-5B05-7A41-B87C-D63B6ED90177}">
  <dimension ref="A1:M143"/>
  <sheetViews>
    <sheetView topLeftCell="A122" workbookViewId="0">
      <selection activeCell="M122" sqref="M1:M1048576"/>
    </sheetView>
  </sheetViews>
  <sheetFormatPr baseColWidth="10" defaultRowHeight="16" x14ac:dyDescent="0.2"/>
  <cols>
    <col min="7" max="9" width="0" hidden="1" customWidth="1"/>
    <col min="11" max="11" width="47.33203125" customWidth="1"/>
  </cols>
  <sheetData>
    <row r="1" spans="1:12" x14ac:dyDescent="0.2">
      <c r="A1" s="1" t="s">
        <v>28</v>
      </c>
      <c r="B1" s="1" t="s">
        <v>29</v>
      </c>
      <c r="C1" s="1" t="s">
        <v>30</v>
      </c>
      <c r="D1" s="1" t="s">
        <v>31</v>
      </c>
      <c r="E1" s="1"/>
      <c r="F1" s="1" t="s">
        <v>32</v>
      </c>
      <c r="G1" s="1" t="s">
        <v>33</v>
      </c>
      <c r="H1" s="1" t="s">
        <v>34</v>
      </c>
      <c r="I1" s="1" t="s">
        <v>35</v>
      </c>
      <c r="K1" s="3" t="s">
        <v>155</v>
      </c>
      <c r="L1" s="3" t="s">
        <v>567</v>
      </c>
    </row>
    <row r="2" spans="1:12" x14ac:dyDescent="0.2">
      <c r="A2">
        <v>25041314</v>
      </c>
      <c r="B2">
        <v>0</v>
      </c>
      <c r="C2" t="s">
        <v>1805</v>
      </c>
      <c r="D2" t="s">
        <v>1806</v>
      </c>
      <c r="F2" t="s">
        <v>38</v>
      </c>
      <c r="I2" t="s">
        <v>169</v>
      </c>
      <c r="L2" t="str">
        <f>IF(OR(E2="FP",J2="FP"),"FP",IF(AND(E2="TP",J2="TP"),"TP",""))</f>
        <v/>
      </c>
    </row>
    <row r="3" spans="1:12" x14ac:dyDescent="0.2">
      <c r="A3">
        <v>25041314</v>
      </c>
      <c r="B3">
        <v>1</v>
      </c>
      <c r="C3" t="s">
        <v>1807</v>
      </c>
      <c r="I3" t="s">
        <v>169</v>
      </c>
      <c r="L3" t="str">
        <f t="shared" ref="L3:L66" si="0">IF(OR(E3="FP",J3="FP"),"FP",IF(AND(E3="TP",J3="TP"),"TP",""))</f>
        <v/>
      </c>
    </row>
    <row r="4" spans="1:12" x14ac:dyDescent="0.2">
      <c r="A4">
        <v>25041314</v>
      </c>
      <c r="B4">
        <v>2</v>
      </c>
      <c r="C4" t="s">
        <v>1808</v>
      </c>
      <c r="I4" t="s">
        <v>169</v>
      </c>
      <c r="L4" t="str">
        <f t="shared" si="0"/>
        <v/>
      </c>
    </row>
    <row r="5" spans="1:12" x14ac:dyDescent="0.2">
      <c r="A5">
        <v>25041314</v>
      </c>
      <c r="B5">
        <v>3</v>
      </c>
      <c r="C5" t="s">
        <v>1809</v>
      </c>
      <c r="I5" t="s">
        <v>169</v>
      </c>
      <c r="L5" t="str">
        <f t="shared" si="0"/>
        <v/>
      </c>
    </row>
    <row r="6" spans="1:12" x14ac:dyDescent="0.2">
      <c r="A6">
        <v>25041314</v>
      </c>
      <c r="B6">
        <v>4</v>
      </c>
      <c r="C6" t="s">
        <v>1810</v>
      </c>
      <c r="D6" t="s">
        <v>1811</v>
      </c>
      <c r="F6" t="s">
        <v>38</v>
      </c>
      <c r="I6" t="s">
        <v>10</v>
      </c>
      <c r="L6" t="str">
        <f t="shared" si="0"/>
        <v/>
      </c>
    </row>
    <row r="7" spans="1:12" x14ac:dyDescent="0.2">
      <c r="A7">
        <v>25041314</v>
      </c>
      <c r="B7">
        <v>4</v>
      </c>
      <c r="C7" t="s">
        <v>1810</v>
      </c>
      <c r="D7" t="s">
        <v>1964</v>
      </c>
      <c r="F7" t="s">
        <v>38</v>
      </c>
      <c r="I7" t="s">
        <v>10</v>
      </c>
      <c r="L7" t="str">
        <f t="shared" si="0"/>
        <v/>
      </c>
    </row>
    <row r="8" spans="1:12" x14ac:dyDescent="0.2">
      <c r="A8">
        <v>25041314</v>
      </c>
      <c r="B8">
        <v>5</v>
      </c>
      <c r="C8" t="s">
        <v>1812</v>
      </c>
      <c r="D8" t="s">
        <v>24</v>
      </c>
      <c r="F8" t="s">
        <v>38</v>
      </c>
      <c r="I8" t="s">
        <v>169</v>
      </c>
      <c r="L8" t="str">
        <f t="shared" si="0"/>
        <v/>
      </c>
    </row>
    <row r="9" spans="1:12" x14ac:dyDescent="0.2">
      <c r="A9">
        <v>25041314</v>
      </c>
      <c r="B9">
        <v>6</v>
      </c>
      <c r="C9" t="s">
        <v>1813</v>
      </c>
      <c r="D9" t="s">
        <v>1806</v>
      </c>
      <c r="F9" t="s">
        <v>38</v>
      </c>
      <c r="I9" t="s">
        <v>169</v>
      </c>
      <c r="L9" t="str">
        <f t="shared" si="0"/>
        <v/>
      </c>
    </row>
    <row r="10" spans="1:12" x14ac:dyDescent="0.2">
      <c r="A10">
        <v>25041314</v>
      </c>
      <c r="B10">
        <v>7</v>
      </c>
      <c r="C10" t="s">
        <v>1814</v>
      </c>
      <c r="D10" t="s">
        <v>1815</v>
      </c>
      <c r="F10" t="s">
        <v>38</v>
      </c>
      <c r="I10" t="s">
        <v>169</v>
      </c>
      <c r="L10" t="str">
        <f t="shared" si="0"/>
        <v/>
      </c>
    </row>
    <row r="11" spans="1:12" x14ac:dyDescent="0.2">
      <c r="A11">
        <v>25041314</v>
      </c>
      <c r="B11">
        <v>8</v>
      </c>
      <c r="C11" t="s">
        <v>1816</v>
      </c>
      <c r="D11" t="s">
        <v>1817</v>
      </c>
      <c r="F11" t="s">
        <v>38</v>
      </c>
      <c r="I11" t="s">
        <v>169</v>
      </c>
      <c r="L11" t="str">
        <f t="shared" si="0"/>
        <v/>
      </c>
    </row>
    <row r="12" spans="1:12" x14ac:dyDescent="0.2">
      <c r="A12">
        <v>25041314</v>
      </c>
      <c r="B12">
        <v>8</v>
      </c>
      <c r="C12" t="s">
        <v>1816</v>
      </c>
      <c r="D12" t="s">
        <v>255</v>
      </c>
      <c r="E12" t="s">
        <v>146</v>
      </c>
      <c r="F12" t="s">
        <v>3</v>
      </c>
      <c r="G12" t="s">
        <v>256</v>
      </c>
      <c r="H12" t="s">
        <v>257</v>
      </c>
      <c r="I12" t="s">
        <v>8</v>
      </c>
      <c r="J12" t="s">
        <v>146</v>
      </c>
      <c r="L12" t="str">
        <f t="shared" si="0"/>
        <v>TP</v>
      </c>
    </row>
    <row r="13" spans="1:12" x14ac:dyDescent="0.2">
      <c r="A13">
        <v>25041314</v>
      </c>
      <c r="B13">
        <v>8</v>
      </c>
      <c r="C13" t="s">
        <v>1816</v>
      </c>
      <c r="D13" t="s">
        <v>1818</v>
      </c>
      <c r="E13" t="s">
        <v>146</v>
      </c>
      <c r="F13" t="s">
        <v>3</v>
      </c>
      <c r="I13" t="s">
        <v>10</v>
      </c>
      <c r="J13" t="s">
        <v>146</v>
      </c>
      <c r="L13" t="str">
        <f t="shared" si="0"/>
        <v>TP</v>
      </c>
    </row>
    <row r="14" spans="1:12" x14ac:dyDescent="0.2">
      <c r="A14">
        <v>25041314</v>
      </c>
      <c r="B14">
        <v>8</v>
      </c>
      <c r="C14" t="s">
        <v>1816</v>
      </c>
      <c r="D14" t="s">
        <v>1819</v>
      </c>
      <c r="E14" t="s">
        <v>146</v>
      </c>
      <c r="F14" t="s">
        <v>3</v>
      </c>
      <c r="I14" t="s">
        <v>10</v>
      </c>
      <c r="J14" t="s">
        <v>146</v>
      </c>
      <c r="L14" t="str">
        <f t="shared" si="0"/>
        <v>TP</v>
      </c>
    </row>
    <row r="15" spans="1:12" x14ac:dyDescent="0.2">
      <c r="A15">
        <v>25041314</v>
      </c>
      <c r="B15">
        <v>8</v>
      </c>
      <c r="C15" t="s">
        <v>1816</v>
      </c>
      <c r="D15" t="s">
        <v>1820</v>
      </c>
      <c r="E15" t="s">
        <v>146</v>
      </c>
      <c r="F15" t="s">
        <v>3</v>
      </c>
      <c r="I15" t="s">
        <v>10</v>
      </c>
      <c r="J15" t="s">
        <v>146</v>
      </c>
      <c r="L15" t="str">
        <f t="shared" si="0"/>
        <v>TP</v>
      </c>
    </row>
    <row r="16" spans="1:12" x14ac:dyDescent="0.2">
      <c r="A16">
        <v>25041314</v>
      </c>
      <c r="B16">
        <v>9</v>
      </c>
      <c r="C16" t="s">
        <v>1821</v>
      </c>
      <c r="D16" t="s">
        <v>1822</v>
      </c>
      <c r="F16" t="s">
        <v>38</v>
      </c>
      <c r="I16" t="s">
        <v>169</v>
      </c>
      <c r="L16" t="str">
        <f t="shared" si="0"/>
        <v/>
      </c>
    </row>
    <row r="17" spans="1:13" x14ac:dyDescent="0.2">
      <c r="A17">
        <v>25041314</v>
      </c>
      <c r="B17">
        <v>9</v>
      </c>
      <c r="C17" t="s">
        <v>1821</v>
      </c>
      <c r="D17" t="s">
        <v>12</v>
      </c>
      <c r="E17" t="s">
        <v>146</v>
      </c>
      <c r="F17" t="s">
        <v>3</v>
      </c>
      <c r="I17" t="s">
        <v>169</v>
      </c>
      <c r="J17" t="s">
        <v>146</v>
      </c>
      <c r="L17" t="str">
        <f t="shared" si="0"/>
        <v>TP</v>
      </c>
    </row>
    <row r="18" spans="1:13" x14ac:dyDescent="0.2">
      <c r="A18">
        <v>25041314</v>
      </c>
      <c r="B18">
        <v>9</v>
      </c>
      <c r="C18" t="s">
        <v>1821</v>
      </c>
      <c r="D18" t="s">
        <v>69</v>
      </c>
      <c r="F18" t="s">
        <v>38</v>
      </c>
      <c r="I18" t="s">
        <v>169</v>
      </c>
      <c r="L18" t="str">
        <f t="shared" si="0"/>
        <v/>
      </c>
    </row>
    <row r="19" spans="1:13" x14ac:dyDescent="0.2">
      <c r="A19">
        <v>25041314</v>
      </c>
      <c r="B19">
        <v>9</v>
      </c>
      <c r="C19" t="s">
        <v>1821</v>
      </c>
      <c r="D19" t="s">
        <v>69</v>
      </c>
      <c r="F19" t="s">
        <v>38</v>
      </c>
      <c r="I19" t="s">
        <v>169</v>
      </c>
      <c r="L19" t="str">
        <f t="shared" si="0"/>
        <v/>
      </c>
    </row>
    <row r="20" spans="1:13" x14ac:dyDescent="0.2">
      <c r="A20">
        <v>25041314</v>
      </c>
      <c r="B20">
        <v>9</v>
      </c>
      <c r="C20" t="s">
        <v>1821</v>
      </c>
      <c r="D20" t="s">
        <v>85</v>
      </c>
      <c r="E20" t="s">
        <v>146</v>
      </c>
      <c r="F20" t="s">
        <v>3</v>
      </c>
      <c r="G20" t="s">
        <v>86</v>
      </c>
      <c r="H20" t="s">
        <v>85</v>
      </c>
      <c r="I20" t="s">
        <v>8</v>
      </c>
      <c r="J20" t="s">
        <v>146</v>
      </c>
      <c r="L20" t="str">
        <f t="shared" si="0"/>
        <v>TP</v>
      </c>
    </row>
    <row r="21" spans="1:13" x14ac:dyDescent="0.2">
      <c r="A21">
        <v>25041314</v>
      </c>
      <c r="B21">
        <v>9</v>
      </c>
      <c r="C21" t="s">
        <v>1821</v>
      </c>
      <c r="D21" t="s">
        <v>470</v>
      </c>
      <c r="E21" t="s">
        <v>146</v>
      </c>
      <c r="F21" t="s">
        <v>3</v>
      </c>
      <c r="G21" t="s">
        <v>469</v>
      </c>
      <c r="H21" t="s">
        <v>470</v>
      </c>
      <c r="I21" t="s">
        <v>8</v>
      </c>
      <c r="J21" t="s">
        <v>146</v>
      </c>
      <c r="L21" t="str">
        <f t="shared" si="0"/>
        <v>TP</v>
      </c>
    </row>
    <row r="22" spans="1:13" x14ac:dyDescent="0.2">
      <c r="A22">
        <v>25041314</v>
      </c>
      <c r="B22">
        <v>9</v>
      </c>
      <c r="C22" t="s">
        <v>1821</v>
      </c>
      <c r="D22" t="s">
        <v>295</v>
      </c>
      <c r="E22" t="s">
        <v>146</v>
      </c>
      <c r="F22" t="s">
        <v>3</v>
      </c>
      <c r="G22" t="s">
        <v>296</v>
      </c>
      <c r="H22" t="s">
        <v>295</v>
      </c>
      <c r="I22" t="s">
        <v>8</v>
      </c>
      <c r="J22" t="s">
        <v>146</v>
      </c>
      <c r="L22" t="str">
        <f t="shared" si="0"/>
        <v>TP</v>
      </c>
    </row>
    <row r="23" spans="1:13" x14ac:dyDescent="0.2">
      <c r="A23">
        <v>25041314</v>
      </c>
      <c r="B23">
        <v>9</v>
      </c>
      <c r="C23" t="s">
        <v>1821</v>
      </c>
      <c r="D23" t="s">
        <v>1823</v>
      </c>
      <c r="E23" t="s">
        <v>146</v>
      </c>
      <c r="F23" t="s">
        <v>3</v>
      </c>
      <c r="G23" t="s">
        <v>1824</v>
      </c>
      <c r="H23" t="s">
        <v>1825</v>
      </c>
      <c r="I23" t="s">
        <v>8</v>
      </c>
      <c r="J23" t="s">
        <v>146</v>
      </c>
      <c r="L23" t="str">
        <f t="shared" si="0"/>
        <v>TP</v>
      </c>
    </row>
    <row r="24" spans="1:13" x14ac:dyDescent="0.2">
      <c r="A24">
        <v>25041314</v>
      </c>
      <c r="B24">
        <v>9</v>
      </c>
      <c r="C24" t="s">
        <v>1821</v>
      </c>
      <c r="D24" t="s">
        <v>74</v>
      </c>
      <c r="E24" t="s">
        <v>146</v>
      </c>
      <c r="F24" t="s">
        <v>3</v>
      </c>
      <c r="G24" t="s">
        <v>75</v>
      </c>
      <c r="H24" t="s">
        <v>74</v>
      </c>
      <c r="I24" t="s">
        <v>8</v>
      </c>
      <c r="J24" t="s">
        <v>146</v>
      </c>
      <c r="L24" t="str">
        <f t="shared" si="0"/>
        <v>TP</v>
      </c>
    </row>
    <row r="25" spans="1:13" x14ac:dyDescent="0.2">
      <c r="A25">
        <v>25041314</v>
      </c>
      <c r="B25">
        <v>9</v>
      </c>
      <c r="C25" t="s">
        <v>1821</v>
      </c>
      <c r="D25" t="s">
        <v>64</v>
      </c>
      <c r="E25" t="s">
        <v>146</v>
      </c>
      <c r="F25" t="s">
        <v>3</v>
      </c>
      <c r="G25" t="s">
        <v>65</v>
      </c>
      <c r="H25" t="s">
        <v>64</v>
      </c>
      <c r="I25" t="s">
        <v>8</v>
      </c>
      <c r="J25" t="s">
        <v>146</v>
      </c>
      <c r="L25" t="str">
        <f t="shared" si="0"/>
        <v>TP</v>
      </c>
    </row>
    <row r="26" spans="1:13" x14ac:dyDescent="0.2">
      <c r="A26">
        <v>25041314</v>
      </c>
      <c r="B26">
        <v>9</v>
      </c>
      <c r="C26" t="s">
        <v>1821</v>
      </c>
      <c r="D26" t="s">
        <v>1826</v>
      </c>
      <c r="E26" t="s">
        <v>146</v>
      </c>
      <c r="F26" t="s">
        <v>61</v>
      </c>
      <c r="I26" t="s">
        <v>169</v>
      </c>
      <c r="J26" t="s">
        <v>146</v>
      </c>
      <c r="L26" t="str">
        <f t="shared" si="0"/>
        <v>TP</v>
      </c>
    </row>
    <row r="27" spans="1:13" x14ac:dyDescent="0.2">
      <c r="A27">
        <v>25041314</v>
      </c>
      <c r="B27">
        <v>10</v>
      </c>
      <c r="C27" t="s">
        <v>1827</v>
      </c>
      <c r="D27" t="s">
        <v>1828</v>
      </c>
      <c r="E27" t="s">
        <v>146</v>
      </c>
      <c r="F27" t="s">
        <v>61</v>
      </c>
      <c r="I27" t="s">
        <v>10</v>
      </c>
      <c r="J27" t="s">
        <v>146</v>
      </c>
      <c r="L27" t="str">
        <f t="shared" si="0"/>
        <v>TP</v>
      </c>
    </row>
    <row r="28" spans="1:13" x14ac:dyDescent="0.2">
      <c r="A28">
        <v>25041314</v>
      </c>
      <c r="B28">
        <v>10</v>
      </c>
      <c r="C28" t="s">
        <v>1827</v>
      </c>
      <c r="D28" t="s">
        <v>1829</v>
      </c>
      <c r="E28" t="s">
        <v>146</v>
      </c>
      <c r="F28" t="s">
        <v>61</v>
      </c>
      <c r="J28" t="s">
        <v>146</v>
      </c>
      <c r="L28" t="str">
        <f t="shared" si="0"/>
        <v>TP</v>
      </c>
    </row>
    <row r="29" spans="1:13" x14ac:dyDescent="0.2">
      <c r="A29">
        <v>25041314</v>
      </c>
      <c r="B29">
        <v>10</v>
      </c>
      <c r="C29" t="s">
        <v>1827</v>
      </c>
      <c r="D29" t="s">
        <v>69</v>
      </c>
      <c r="F29" t="s">
        <v>38</v>
      </c>
      <c r="I29" t="s">
        <v>169</v>
      </c>
      <c r="L29" t="str">
        <f t="shared" si="0"/>
        <v/>
      </c>
    </row>
    <row r="30" spans="1:13" x14ac:dyDescent="0.2">
      <c r="A30">
        <v>25041314</v>
      </c>
      <c r="B30">
        <v>11</v>
      </c>
      <c r="C30" t="s">
        <v>1830</v>
      </c>
      <c r="I30" t="s">
        <v>169</v>
      </c>
      <c r="L30" t="str">
        <f t="shared" si="0"/>
        <v/>
      </c>
    </row>
    <row r="31" spans="1:13" x14ac:dyDescent="0.2">
      <c r="A31">
        <v>25041314</v>
      </c>
      <c r="B31">
        <v>12</v>
      </c>
      <c r="C31" t="s">
        <v>1831</v>
      </c>
      <c r="D31" t="s">
        <v>1832</v>
      </c>
      <c r="E31" t="s">
        <v>146</v>
      </c>
      <c r="F31" t="s">
        <v>44</v>
      </c>
      <c r="I31" t="s">
        <v>169</v>
      </c>
      <c r="L31" t="str">
        <f t="shared" si="0"/>
        <v/>
      </c>
      <c r="M31" s="19"/>
    </row>
    <row r="32" spans="1:13" x14ac:dyDescent="0.2">
      <c r="A32">
        <v>25041314</v>
      </c>
      <c r="B32">
        <v>12</v>
      </c>
      <c r="C32" t="s">
        <v>1831</v>
      </c>
      <c r="D32" t="s">
        <v>69</v>
      </c>
      <c r="F32" t="s">
        <v>38</v>
      </c>
      <c r="I32" t="s">
        <v>169</v>
      </c>
      <c r="L32" t="str">
        <f t="shared" si="0"/>
        <v/>
      </c>
    </row>
    <row r="33" spans="1:12" x14ac:dyDescent="0.2">
      <c r="A33">
        <v>25041314</v>
      </c>
      <c r="B33">
        <v>13</v>
      </c>
      <c r="C33" t="s">
        <v>1833</v>
      </c>
      <c r="I33" t="s">
        <v>169</v>
      </c>
      <c r="L33" t="str">
        <f t="shared" si="0"/>
        <v/>
      </c>
    </row>
    <row r="34" spans="1:12" x14ac:dyDescent="0.2">
      <c r="A34">
        <v>25053082</v>
      </c>
      <c r="B34">
        <v>0</v>
      </c>
      <c r="C34" t="s">
        <v>1834</v>
      </c>
      <c r="D34" t="s">
        <v>1835</v>
      </c>
      <c r="E34" t="s">
        <v>146</v>
      </c>
      <c r="F34" t="s">
        <v>3</v>
      </c>
      <c r="G34" t="s">
        <v>1514</v>
      </c>
      <c r="H34" t="s">
        <v>1515</v>
      </c>
      <c r="I34" t="s">
        <v>8</v>
      </c>
      <c r="J34" t="s">
        <v>146</v>
      </c>
      <c r="L34" t="str">
        <f t="shared" si="0"/>
        <v>TP</v>
      </c>
    </row>
    <row r="35" spans="1:12" x14ac:dyDescent="0.2">
      <c r="A35">
        <v>25053082</v>
      </c>
      <c r="B35">
        <v>1</v>
      </c>
      <c r="C35" t="s">
        <v>1836</v>
      </c>
      <c r="D35" t="s">
        <v>69</v>
      </c>
      <c r="F35" t="s">
        <v>38</v>
      </c>
      <c r="I35" t="s">
        <v>169</v>
      </c>
      <c r="L35" t="str">
        <f t="shared" si="0"/>
        <v/>
      </c>
    </row>
    <row r="36" spans="1:12" x14ac:dyDescent="0.2">
      <c r="A36">
        <v>25053082</v>
      </c>
      <c r="B36">
        <v>2</v>
      </c>
      <c r="C36" t="s">
        <v>1837</v>
      </c>
      <c r="D36" t="s">
        <v>1835</v>
      </c>
      <c r="E36" t="s">
        <v>146</v>
      </c>
      <c r="F36" t="s">
        <v>3</v>
      </c>
      <c r="G36" t="s">
        <v>1514</v>
      </c>
      <c r="H36" t="s">
        <v>1515</v>
      </c>
      <c r="I36" t="s">
        <v>8</v>
      </c>
      <c r="J36" t="s">
        <v>146</v>
      </c>
      <c r="L36" t="str">
        <f t="shared" si="0"/>
        <v>TP</v>
      </c>
    </row>
    <row r="37" spans="1:12" x14ac:dyDescent="0.2">
      <c r="A37">
        <v>25053082</v>
      </c>
      <c r="B37">
        <v>3</v>
      </c>
      <c r="C37" t="s">
        <v>1838</v>
      </c>
      <c r="D37" t="s">
        <v>1839</v>
      </c>
      <c r="E37" t="s">
        <v>146</v>
      </c>
      <c r="F37" t="s">
        <v>3</v>
      </c>
      <c r="I37" t="s">
        <v>10</v>
      </c>
      <c r="J37" t="s">
        <v>146</v>
      </c>
      <c r="L37" t="str">
        <f t="shared" si="0"/>
        <v>TP</v>
      </c>
    </row>
    <row r="38" spans="1:12" x14ac:dyDescent="0.2">
      <c r="A38">
        <v>25053082</v>
      </c>
      <c r="B38">
        <v>3</v>
      </c>
      <c r="C38" t="s">
        <v>1838</v>
      </c>
      <c r="D38" t="s">
        <v>1840</v>
      </c>
      <c r="E38" t="s">
        <v>167</v>
      </c>
      <c r="F38" t="s">
        <v>3</v>
      </c>
      <c r="I38" t="s">
        <v>10</v>
      </c>
      <c r="L38" t="str">
        <f t="shared" si="0"/>
        <v>FP</v>
      </c>
    </row>
    <row r="39" spans="1:12" x14ac:dyDescent="0.2">
      <c r="A39">
        <v>25053082</v>
      </c>
      <c r="B39">
        <v>4</v>
      </c>
      <c r="C39" t="s">
        <v>1841</v>
      </c>
      <c r="D39" t="s">
        <v>1842</v>
      </c>
      <c r="E39" t="s">
        <v>146</v>
      </c>
      <c r="F39" t="s">
        <v>3</v>
      </c>
      <c r="I39" t="s">
        <v>10</v>
      </c>
      <c r="J39" t="s">
        <v>146</v>
      </c>
      <c r="L39" t="str">
        <f t="shared" si="0"/>
        <v>TP</v>
      </c>
    </row>
    <row r="40" spans="1:12" x14ac:dyDescent="0.2">
      <c r="A40">
        <v>25053082</v>
      </c>
      <c r="B40">
        <v>4</v>
      </c>
      <c r="C40" t="s">
        <v>1841</v>
      </c>
      <c r="D40" t="s">
        <v>1843</v>
      </c>
      <c r="E40" t="s">
        <v>146</v>
      </c>
      <c r="F40" t="s">
        <v>3</v>
      </c>
      <c r="I40" t="s">
        <v>10</v>
      </c>
      <c r="J40" t="s">
        <v>146</v>
      </c>
      <c r="L40" t="str">
        <f t="shared" si="0"/>
        <v>TP</v>
      </c>
    </row>
    <row r="41" spans="1:12" x14ac:dyDescent="0.2">
      <c r="A41">
        <v>25053082</v>
      </c>
      <c r="B41">
        <v>4</v>
      </c>
      <c r="C41" t="s">
        <v>1841</v>
      </c>
      <c r="D41" t="s">
        <v>1844</v>
      </c>
      <c r="E41" t="s">
        <v>167</v>
      </c>
      <c r="F41" t="s">
        <v>44</v>
      </c>
      <c r="I41" t="s">
        <v>10</v>
      </c>
      <c r="K41" t="s">
        <v>1965</v>
      </c>
      <c r="L41" t="str">
        <f t="shared" si="0"/>
        <v>FP</v>
      </c>
    </row>
    <row r="42" spans="1:12" x14ac:dyDescent="0.2">
      <c r="A42">
        <v>25053082</v>
      </c>
      <c r="B42">
        <v>5</v>
      </c>
      <c r="C42" t="s">
        <v>1845</v>
      </c>
      <c r="D42" t="s">
        <v>1842</v>
      </c>
      <c r="E42" t="s">
        <v>146</v>
      </c>
      <c r="F42" t="s">
        <v>3</v>
      </c>
      <c r="I42" t="s">
        <v>10</v>
      </c>
      <c r="J42" t="s">
        <v>146</v>
      </c>
      <c r="L42" t="str">
        <f t="shared" si="0"/>
        <v>TP</v>
      </c>
    </row>
    <row r="43" spans="1:12" x14ac:dyDescent="0.2">
      <c r="A43">
        <v>25053082</v>
      </c>
      <c r="B43">
        <v>5</v>
      </c>
      <c r="C43" t="s">
        <v>1845</v>
      </c>
      <c r="D43" t="s">
        <v>1846</v>
      </c>
      <c r="E43" t="s">
        <v>146</v>
      </c>
      <c r="F43" t="s">
        <v>61</v>
      </c>
      <c r="I43" t="s">
        <v>10</v>
      </c>
      <c r="J43" t="s">
        <v>146</v>
      </c>
      <c r="L43" t="str">
        <f t="shared" si="0"/>
        <v>TP</v>
      </c>
    </row>
    <row r="44" spans="1:12" x14ac:dyDescent="0.2">
      <c r="A44">
        <v>25053082</v>
      </c>
      <c r="B44">
        <v>6</v>
      </c>
      <c r="C44" t="s">
        <v>1847</v>
      </c>
      <c r="I44" t="s">
        <v>169</v>
      </c>
      <c r="L44" t="str">
        <f t="shared" si="0"/>
        <v/>
      </c>
    </row>
    <row r="45" spans="1:12" x14ac:dyDescent="0.2">
      <c r="A45">
        <v>25056432</v>
      </c>
      <c r="B45">
        <v>0</v>
      </c>
      <c r="C45" t="s">
        <v>1848</v>
      </c>
      <c r="I45" t="s">
        <v>169</v>
      </c>
      <c r="L45" t="str">
        <f t="shared" si="0"/>
        <v/>
      </c>
    </row>
    <row r="46" spans="1:12" x14ac:dyDescent="0.2">
      <c r="A46">
        <v>25056432</v>
      </c>
      <c r="B46">
        <v>1</v>
      </c>
      <c r="C46" t="s">
        <v>1849</v>
      </c>
      <c r="I46" t="s">
        <v>169</v>
      </c>
      <c r="L46" t="str">
        <f t="shared" si="0"/>
        <v/>
      </c>
    </row>
    <row r="47" spans="1:12" x14ac:dyDescent="0.2">
      <c r="A47">
        <v>25056432</v>
      </c>
      <c r="B47">
        <v>2</v>
      </c>
      <c r="C47" t="s">
        <v>1850</v>
      </c>
      <c r="D47" t="s">
        <v>1851</v>
      </c>
      <c r="E47" t="s">
        <v>167</v>
      </c>
      <c r="F47" t="s">
        <v>44</v>
      </c>
      <c r="I47" t="s">
        <v>10</v>
      </c>
      <c r="J47" t="s">
        <v>167</v>
      </c>
      <c r="L47" t="str">
        <f t="shared" si="0"/>
        <v>FP</v>
      </c>
    </row>
    <row r="48" spans="1:12" x14ac:dyDescent="0.2">
      <c r="A48">
        <v>25056432</v>
      </c>
      <c r="B48">
        <v>3</v>
      </c>
      <c r="C48" t="s">
        <v>1852</v>
      </c>
      <c r="I48" t="s">
        <v>169</v>
      </c>
      <c r="L48" t="str">
        <f t="shared" si="0"/>
        <v/>
      </c>
    </row>
    <row r="49" spans="1:13" x14ac:dyDescent="0.2">
      <c r="A49">
        <v>25056432</v>
      </c>
      <c r="B49">
        <v>4</v>
      </c>
      <c r="C49" t="s">
        <v>1853</v>
      </c>
      <c r="I49" t="s">
        <v>169</v>
      </c>
      <c r="L49" t="str">
        <f t="shared" si="0"/>
        <v/>
      </c>
    </row>
    <row r="50" spans="1:13" x14ac:dyDescent="0.2">
      <c r="A50">
        <v>25056432</v>
      </c>
      <c r="B50">
        <v>5</v>
      </c>
      <c r="C50" t="s">
        <v>1854</v>
      </c>
      <c r="I50" t="s">
        <v>169</v>
      </c>
      <c r="L50" t="str">
        <f t="shared" si="0"/>
        <v/>
      </c>
    </row>
    <row r="51" spans="1:13" x14ac:dyDescent="0.2">
      <c r="A51">
        <v>25056432</v>
      </c>
      <c r="B51">
        <v>6</v>
      </c>
      <c r="C51" t="s">
        <v>1855</v>
      </c>
      <c r="D51" t="s">
        <v>1186</v>
      </c>
      <c r="F51" t="s">
        <v>38</v>
      </c>
      <c r="L51" t="str">
        <f t="shared" si="0"/>
        <v/>
      </c>
    </row>
    <row r="52" spans="1:13" x14ac:dyDescent="0.2">
      <c r="A52">
        <v>25056432</v>
      </c>
      <c r="B52">
        <v>6</v>
      </c>
      <c r="C52" t="s">
        <v>1855</v>
      </c>
      <c r="D52" t="s">
        <v>1856</v>
      </c>
      <c r="E52" t="s">
        <v>146</v>
      </c>
      <c r="F52" t="s">
        <v>44</v>
      </c>
      <c r="I52" t="s">
        <v>10</v>
      </c>
      <c r="J52" t="s">
        <v>146</v>
      </c>
      <c r="L52" t="str">
        <f t="shared" si="0"/>
        <v>TP</v>
      </c>
    </row>
    <row r="53" spans="1:13" x14ac:dyDescent="0.2">
      <c r="A53">
        <v>25056432</v>
      </c>
      <c r="B53">
        <v>7</v>
      </c>
      <c r="C53" t="s">
        <v>1857</v>
      </c>
      <c r="I53" t="s">
        <v>169</v>
      </c>
      <c r="L53" t="str">
        <f t="shared" si="0"/>
        <v/>
      </c>
    </row>
    <row r="54" spans="1:13" x14ac:dyDescent="0.2">
      <c r="A54">
        <v>25063655</v>
      </c>
      <c r="B54">
        <v>0</v>
      </c>
      <c r="C54" t="s">
        <v>1858</v>
      </c>
      <c r="D54" t="s">
        <v>1304</v>
      </c>
      <c r="F54" t="s">
        <v>44</v>
      </c>
      <c r="I54" t="s">
        <v>10</v>
      </c>
      <c r="K54" t="s">
        <v>1966</v>
      </c>
      <c r="L54" t="str">
        <f t="shared" si="0"/>
        <v/>
      </c>
    </row>
    <row r="55" spans="1:13" x14ac:dyDescent="0.2">
      <c r="A55">
        <v>25063655</v>
      </c>
      <c r="B55">
        <v>1</v>
      </c>
      <c r="C55" t="s">
        <v>1859</v>
      </c>
      <c r="D55" t="s">
        <v>1860</v>
      </c>
      <c r="E55" t="s">
        <v>146</v>
      </c>
      <c r="F55" t="s">
        <v>61</v>
      </c>
      <c r="I55" t="s">
        <v>10</v>
      </c>
      <c r="J55" t="s">
        <v>146</v>
      </c>
      <c r="K55" t="s">
        <v>1967</v>
      </c>
      <c r="L55" t="str">
        <f t="shared" si="0"/>
        <v>TP</v>
      </c>
      <c r="M55" t="s">
        <v>1986</v>
      </c>
    </row>
    <row r="56" spans="1:13" x14ac:dyDescent="0.2">
      <c r="A56">
        <v>25063655</v>
      </c>
      <c r="B56">
        <v>1</v>
      </c>
      <c r="C56" t="s">
        <v>1859</v>
      </c>
      <c r="D56" t="s">
        <v>1861</v>
      </c>
      <c r="E56" t="s">
        <v>146</v>
      </c>
      <c r="F56" t="s">
        <v>61</v>
      </c>
      <c r="I56" t="s">
        <v>10</v>
      </c>
      <c r="J56" t="s">
        <v>146</v>
      </c>
      <c r="L56" t="str">
        <f t="shared" si="0"/>
        <v>TP</v>
      </c>
    </row>
    <row r="57" spans="1:13" x14ac:dyDescent="0.2">
      <c r="A57">
        <v>25063655</v>
      </c>
      <c r="B57">
        <v>1</v>
      </c>
      <c r="C57" t="s">
        <v>1859</v>
      </c>
      <c r="D57" t="s">
        <v>1862</v>
      </c>
      <c r="E57" t="s">
        <v>146</v>
      </c>
      <c r="F57" t="s">
        <v>44</v>
      </c>
      <c r="I57" t="s">
        <v>10</v>
      </c>
      <c r="J57" t="s">
        <v>146</v>
      </c>
      <c r="L57" t="str">
        <f t="shared" si="0"/>
        <v>TP</v>
      </c>
    </row>
    <row r="58" spans="1:13" x14ac:dyDescent="0.2">
      <c r="A58">
        <v>25063655</v>
      </c>
      <c r="B58">
        <v>1</v>
      </c>
      <c r="C58" t="s">
        <v>1859</v>
      </c>
      <c r="D58" t="s">
        <v>1863</v>
      </c>
      <c r="E58" t="s">
        <v>146</v>
      </c>
      <c r="F58" t="s">
        <v>44</v>
      </c>
      <c r="I58" t="s">
        <v>10</v>
      </c>
      <c r="J58" t="s">
        <v>146</v>
      </c>
      <c r="L58" t="str">
        <f t="shared" si="0"/>
        <v>TP</v>
      </c>
    </row>
    <row r="59" spans="1:13" x14ac:dyDescent="0.2">
      <c r="A59">
        <v>25063655</v>
      </c>
      <c r="B59">
        <v>1</v>
      </c>
      <c r="C59" t="s">
        <v>1859</v>
      </c>
      <c r="D59" t="s">
        <v>1864</v>
      </c>
      <c r="E59" t="s">
        <v>146</v>
      </c>
      <c r="F59" t="s">
        <v>44</v>
      </c>
      <c r="I59" t="s">
        <v>10</v>
      </c>
      <c r="J59" t="s">
        <v>146</v>
      </c>
      <c r="L59" t="str">
        <f t="shared" si="0"/>
        <v>TP</v>
      </c>
    </row>
    <row r="60" spans="1:13" x14ac:dyDescent="0.2">
      <c r="A60">
        <v>25063655</v>
      </c>
      <c r="B60">
        <v>2</v>
      </c>
      <c r="C60" t="s">
        <v>1865</v>
      </c>
      <c r="I60" t="s">
        <v>169</v>
      </c>
      <c r="L60" t="str">
        <f t="shared" si="0"/>
        <v/>
      </c>
    </row>
    <row r="61" spans="1:13" x14ac:dyDescent="0.2">
      <c r="A61">
        <v>25063655</v>
      </c>
      <c r="B61">
        <v>3</v>
      </c>
      <c r="C61" t="s">
        <v>1866</v>
      </c>
      <c r="I61" t="s">
        <v>169</v>
      </c>
      <c r="L61" t="str">
        <f t="shared" si="0"/>
        <v/>
      </c>
    </row>
    <row r="62" spans="1:13" x14ac:dyDescent="0.2">
      <c r="A62">
        <v>25063655</v>
      </c>
      <c r="B62">
        <v>4</v>
      </c>
      <c r="C62" t="s">
        <v>1867</v>
      </c>
      <c r="I62" t="s">
        <v>169</v>
      </c>
      <c r="L62" t="str">
        <f t="shared" si="0"/>
        <v/>
      </c>
    </row>
    <row r="63" spans="1:13" x14ac:dyDescent="0.2">
      <c r="A63">
        <v>25063655</v>
      </c>
      <c r="B63">
        <v>5</v>
      </c>
      <c r="C63" t="s">
        <v>1868</v>
      </c>
      <c r="D63" t="s">
        <v>60</v>
      </c>
      <c r="E63" t="s">
        <v>146</v>
      </c>
      <c r="F63" t="s">
        <v>61</v>
      </c>
      <c r="J63" t="s">
        <v>146</v>
      </c>
      <c r="L63" t="str">
        <f t="shared" si="0"/>
        <v>TP</v>
      </c>
    </row>
    <row r="64" spans="1:13" x14ac:dyDescent="0.2">
      <c r="A64">
        <v>25063655</v>
      </c>
      <c r="B64">
        <v>5</v>
      </c>
      <c r="C64" t="s">
        <v>1868</v>
      </c>
      <c r="D64" t="s">
        <v>514</v>
      </c>
      <c r="E64" t="s">
        <v>146</v>
      </c>
      <c r="F64" t="s">
        <v>61</v>
      </c>
      <c r="J64" t="s">
        <v>146</v>
      </c>
      <c r="L64" t="str">
        <f t="shared" si="0"/>
        <v>TP</v>
      </c>
    </row>
    <row r="65" spans="1:13" x14ac:dyDescent="0.2">
      <c r="A65">
        <v>25063655</v>
      </c>
      <c r="B65">
        <v>5</v>
      </c>
      <c r="C65" t="s">
        <v>1868</v>
      </c>
      <c r="D65" t="s">
        <v>514</v>
      </c>
      <c r="F65" t="s">
        <v>61</v>
      </c>
      <c r="K65" t="s">
        <v>1968</v>
      </c>
      <c r="L65" t="str">
        <f t="shared" si="0"/>
        <v/>
      </c>
    </row>
    <row r="66" spans="1:13" x14ac:dyDescent="0.2">
      <c r="A66">
        <v>25063655</v>
      </c>
      <c r="B66">
        <v>6</v>
      </c>
      <c r="C66" t="s">
        <v>1869</v>
      </c>
      <c r="D66" t="s">
        <v>1870</v>
      </c>
      <c r="E66" t="s">
        <v>146</v>
      </c>
      <c r="F66" t="s">
        <v>44</v>
      </c>
      <c r="I66" t="s">
        <v>169</v>
      </c>
      <c r="J66" t="s">
        <v>146</v>
      </c>
      <c r="L66" t="str">
        <f t="shared" si="0"/>
        <v>TP</v>
      </c>
    </row>
    <row r="67" spans="1:13" x14ac:dyDescent="0.2">
      <c r="A67">
        <v>25063655</v>
      </c>
      <c r="B67">
        <v>7</v>
      </c>
      <c r="C67" t="s">
        <v>1871</v>
      </c>
      <c r="D67" t="s">
        <v>1872</v>
      </c>
      <c r="F67" t="s">
        <v>44</v>
      </c>
      <c r="G67" t="s">
        <v>1514</v>
      </c>
      <c r="H67" t="s">
        <v>1515</v>
      </c>
      <c r="I67" t="s">
        <v>8</v>
      </c>
      <c r="K67" t="s">
        <v>1969</v>
      </c>
      <c r="L67" t="str">
        <f t="shared" ref="L67:L130" si="1">IF(OR(E67="FP",J67="FP"),"FP",IF(AND(E67="TP",J67="TP"),"TP",""))</f>
        <v/>
      </c>
      <c r="M67" t="s">
        <v>1982</v>
      </c>
    </row>
    <row r="68" spans="1:13" x14ac:dyDescent="0.2">
      <c r="A68">
        <v>25063655</v>
      </c>
      <c r="B68">
        <v>7</v>
      </c>
      <c r="C68" t="s">
        <v>1871</v>
      </c>
      <c r="D68" t="s">
        <v>514</v>
      </c>
      <c r="E68" t="s">
        <v>146</v>
      </c>
      <c r="F68" t="s">
        <v>61</v>
      </c>
      <c r="J68" t="s">
        <v>146</v>
      </c>
      <c r="L68" t="str">
        <f t="shared" si="1"/>
        <v>TP</v>
      </c>
    </row>
    <row r="69" spans="1:13" x14ac:dyDescent="0.2">
      <c r="A69">
        <v>25063655</v>
      </c>
      <c r="B69">
        <v>7</v>
      </c>
      <c r="C69" t="s">
        <v>1871</v>
      </c>
      <c r="D69" t="s">
        <v>1057</v>
      </c>
      <c r="E69" t="s">
        <v>146</v>
      </c>
      <c r="F69" t="s">
        <v>61</v>
      </c>
      <c r="I69" t="s">
        <v>10</v>
      </c>
      <c r="J69" t="s">
        <v>146</v>
      </c>
      <c r="L69" t="str">
        <f t="shared" si="1"/>
        <v>TP</v>
      </c>
    </row>
    <row r="70" spans="1:13" x14ac:dyDescent="0.2">
      <c r="A70">
        <v>25063655</v>
      </c>
      <c r="B70">
        <v>7</v>
      </c>
      <c r="C70" t="s">
        <v>1871</v>
      </c>
      <c r="D70" t="s">
        <v>1873</v>
      </c>
      <c r="E70" t="s">
        <v>146</v>
      </c>
      <c r="F70" t="s">
        <v>61</v>
      </c>
      <c r="I70" t="s">
        <v>10</v>
      </c>
      <c r="J70" t="s">
        <v>146</v>
      </c>
      <c r="L70" t="str">
        <f t="shared" si="1"/>
        <v>TP</v>
      </c>
    </row>
    <row r="71" spans="1:13" x14ac:dyDescent="0.2">
      <c r="A71">
        <v>25063655</v>
      </c>
      <c r="B71">
        <v>7</v>
      </c>
      <c r="C71" t="s">
        <v>1871</v>
      </c>
      <c r="D71" t="s">
        <v>1874</v>
      </c>
      <c r="E71" t="s">
        <v>146</v>
      </c>
      <c r="F71" t="s">
        <v>44</v>
      </c>
      <c r="G71" t="s">
        <v>1875</v>
      </c>
      <c r="H71" t="s">
        <v>1876</v>
      </c>
      <c r="I71" t="s">
        <v>8</v>
      </c>
      <c r="J71" t="s">
        <v>146</v>
      </c>
      <c r="K71" t="s">
        <v>1970</v>
      </c>
      <c r="L71" t="str">
        <f t="shared" si="1"/>
        <v>TP</v>
      </c>
    </row>
    <row r="72" spans="1:13" x14ac:dyDescent="0.2">
      <c r="A72">
        <v>25063655</v>
      </c>
      <c r="B72">
        <v>7</v>
      </c>
      <c r="C72" t="s">
        <v>1871</v>
      </c>
      <c r="D72" t="s">
        <v>1877</v>
      </c>
      <c r="E72" t="s">
        <v>146</v>
      </c>
      <c r="F72" t="s">
        <v>44</v>
      </c>
      <c r="I72" t="s">
        <v>10</v>
      </c>
      <c r="J72" t="s">
        <v>146</v>
      </c>
      <c r="L72" t="str">
        <f t="shared" si="1"/>
        <v>TP</v>
      </c>
    </row>
    <row r="73" spans="1:13" x14ac:dyDescent="0.2">
      <c r="A73">
        <v>25063655</v>
      </c>
      <c r="B73">
        <v>8</v>
      </c>
      <c r="C73" t="s">
        <v>1878</v>
      </c>
      <c r="I73" t="s">
        <v>169</v>
      </c>
      <c r="K73" t="s">
        <v>1971</v>
      </c>
      <c r="L73" t="str">
        <f t="shared" si="1"/>
        <v/>
      </c>
    </row>
    <row r="74" spans="1:13" x14ac:dyDescent="0.2">
      <c r="A74">
        <v>25071157</v>
      </c>
      <c r="B74">
        <v>0</v>
      </c>
      <c r="C74" t="s">
        <v>1879</v>
      </c>
      <c r="I74" t="s">
        <v>169</v>
      </c>
      <c r="L74" t="str">
        <f t="shared" si="1"/>
        <v/>
      </c>
    </row>
    <row r="75" spans="1:13" x14ac:dyDescent="0.2">
      <c r="A75">
        <v>25071157</v>
      </c>
      <c r="B75">
        <v>1</v>
      </c>
      <c r="C75" t="s">
        <v>1880</v>
      </c>
      <c r="I75" t="s">
        <v>169</v>
      </c>
      <c r="L75" t="str">
        <f t="shared" si="1"/>
        <v/>
      </c>
    </row>
    <row r="76" spans="1:13" x14ac:dyDescent="0.2">
      <c r="A76">
        <v>25071157</v>
      </c>
      <c r="B76">
        <v>2</v>
      </c>
      <c r="C76" t="s">
        <v>1881</v>
      </c>
      <c r="D76" t="s">
        <v>1882</v>
      </c>
      <c r="E76" t="s">
        <v>146</v>
      </c>
      <c r="F76" t="s">
        <v>44</v>
      </c>
      <c r="I76" t="s">
        <v>10</v>
      </c>
      <c r="J76" t="s">
        <v>146</v>
      </c>
      <c r="L76" t="str">
        <f t="shared" si="1"/>
        <v>TP</v>
      </c>
    </row>
    <row r="77" spans="1:13" x14ac:dyDescent="0.2">
      <c r="A77">
        <v>25071157</v>
      </c>
      <c r="B77">
        <v>2</v>
      </c>
      <c r="C77" t="s">
        <v>1881</v>
      </c>
      <c r="D77" t="s">
        <v>1883</v>
      </c>
      <c r="E77" t="s">
        <v>146</v>
      </c>
      <c r="F77" t="s">
        <v>44</v>
      </c>
      <c r="G77" t="s">
        <v>1884</v>
      </c>
      <c r="H77" t="s">
        <v>1883</v>
      </c>
      <c r="I77" t="s">
        <v>8</v>
      </c>
      <c r="J77" t="s">
        <v>146</v>
      </c>
      <c r="L77" t="str">
        <f t="shared" si="1"/>
        <v>TP</v>
      </c>
    </row>
    <row r="78" spans="1:13" x14ac:dyDescent="0.2">
      <c r="A78">
        <v>25071157</v>
      </c>
      <c r="B78">
        <v>2</v>
      </c>
      <c r="C78" t="s">
        <v>1881</v>
      </c>
      <c r="D78" t="s">
        <v>1885</v>
      </c>
      <c r="E78" t="s">
        <v>146</v>
      </c>
      <c r="F78" t="s">
        <v>44</v>
      </c>
      <c r="I78" t="s">
        <v>10</v>
      </c>
      <c r="J78" t="s">
        <v>146</v>
      </c>
      <c r="L78" t="str">
        <f t="shared" si="1"/>
        <v>TP</v>
      </c>
    </row>
    <row r="79" spans="1:13" x14ac:dyDescent="0.2">
      <c r="A79">
        <v>25071157</v>
      </c>
      <c r="B79">
        <v>3</v>
      </c>
      <c r="C79" t="s">
        <v>1886</v>
      </c>
      <c r="I79" t="s">
        <v>169</v>
      </c>
      <c r="L79" t="str">
        <f t="shared" si="1"/>
        <v/>
      </c>
    </row>
    <row r="80" spans="1:13" x14ac:dyDescent="0.2">
      <c r="A80">
        <v>25071157</v>
      </c>
      <c r="B80">
        <v>4</v>
      </c>
      <c r="C80" t="s">
        <v>1887</v>
      </c>
      <c r="D80" t="s">
        <v>1888</v>
      </c>
      <c r="E80" t="s">
        <v>146</v>
      </c>
      <c r="F80" t="s">
        <v>44</v>
      </c>
      <c r="G80" t="s">
        <v>1889</v>
      </c>
      <c r="H80" t="s">
        <v>1890</v>
      </c>
      <c r="I80" t="s">
        <v>8</v>
      </c>
      <c r="J80" t="s">
        <v>146</v>
      </c>
      <c r="K80" t="s">
        <v>1972</v>
      </c>
      <c r="L80" t="str">
        <f t="shared" si="1"/>
        <v>TP</v>
      </c>
    </row>
    <row r="81" spans="1:12" x14ac:dyDescent="0.2">
      <c r="A81">
        <v>25071157</v>
      </c>
      <c r="B81">
        <v>5</v>
      </c>
      <c r="C81" t="s">
        <v>1891</v>
      </c>
      <c r="D81" t="s">
        <v>1883</v>
      </c>
      <c r="E81" t="s">
        <v>146</v>
      </c>
      <c r="F81" t="s">
        <v>44</v>
      </c>
      <c r="G81" t="s">
        <v>1884</v>
      </c>
      <c r="H81" t="s">
        <v>1883</v>
      </c>
      <c r="I81" t="s">
        <v>8</v>
      </c>
      <c r="J81" t="s">
        <v>146</v>
      </c>
      <c r="L81" t="str">
        <f t="shared" si="1"/>
        <v>TP</v>
      </c>
    </row>
    <row r="82" spans="1:12" x14ac:dyDescent="0.2">
      <c r="A82">
        <v>25071157</v>
      </c>
      <c r="B82">
        <v>5</v>
      </c>
      <c r="C82" t="s">
        <v>1891</v>
      </c>
      <c r="D82" t="s">
        <v>1892</v>
      </c>
      <c r="E82" t="s">
        <v>146</v>
      </c>
      <c r="F82" t="s">
        <v>44</v>
      </c>
      <c r="G82" t="s">
        <v>1889</v>
      </c>
      <c r="H82" t="s">
        <v>1890</v>
      </c>
      <c r="I82" t="s">
        <v>8</v>
      </c>
      <c r="J82" t="s">
        <v>146</v>
      </c>
      <c r="L82" t="str">
        <f t="shared" si="1"/>
        <v>TP</v>
      </c>
    </row>
    <row r="83" spans="1:12" x14ac:dyDescent="0.2">
      <c r="A83">
        <v>25071157</v>
      </c>
      <c r="B83">
        <v>6</v>
      </c>
      <c r="C83" t="s">
        <v>1893</v>
      </c>
      <c r="D83" t="s">
        <v>1425</v>
      </c>
      <c r="F83" t="s">
        <v>38</v>
      </c>
      <c r="L83" t="str">
        <f t="shared" si="1"/>
        <v/>
      </c>
    </row>
    <row r="84" spans="1:12" x14ac:dyDescent="0.2">
      <c r="A84">
        <v>25082356</v>
      </c>
      <c r="B84">
        <v>0</v>
      </c>
      <c r="C84" t="s">
        <v>1894</v>
      </c>
      <c r="D84" t="s">
        <v>1186</v>
      </c>
      <c r="F84" t="s">
        <v>38</v>
      </c>
      <c r="L84" t="str">
        <f t="shared" si="1"/>
        <v/>
      </c>
    </row>
    <row r="85" spans="1:12" x14ac:dyDescent="0.2">
      <c r="A85">
        <v>25082356</v>
      </c>
      <c r="B85">
        <v>0</v>
      </c>
      <c r="C85" t="s">
        <v>1894</v>
      </c>
      <c r="D85" t="s">
        <v>1186</v>
      </c>
      <c r="F85" t="s">
        <v>38</v>
      </c>
      <c r="L85" t="str">
        <f t="shared" si="1"/>
        <v/>
      </c>
    </row>
    <row r="86" spans="1:12" x14ac:dyDescent="0.2">
      <c r="A86">
        <v>25082356</v>
      </c>
      <c r="B86">
        <v>1</v>
      </c>
      <c r="C86" t="s">
        <v>1895</v>
      </c>
      <c r="D86" t="s">
        <v>1896</v>
      </c>
      <c r="E86" t="s">
        <v>146</v>
      </c>
      <c r="F86" t="s">
        <v>44</v>
      </c>
      <c r="I86" t="s">
        <v>10</v>
      </c>
      <c r="J86" t="s">
        <v>146</v>
      </c>
      <c r="L86" t="str">
        <f t="shared" si="1"/>
        <v>TP</v>
      </c>
    </row>
    <row r="87" spans="1:12" x14ac:dyDescent="0.2">
      <c r="A87">
        <v>25082356</v>
      </c>
      <c r="B87">
        <v>2</v>
      </c>
      <c r="C87" t="s">
        <v>1897</v>
      </c>
      <c r="D87" t="s">
        <v>1898</v>
      </c>
      <c r="F87" t="s">
        <v>38</v>
      </c>
      <c r="I87" t="s">
        <v>10</v>
      </c>
      <c r="L87" t="str">
        <f t="shared" si="1"/>
        <v/>
      </c>
    </row>
    <row r="88" spans="1:12" x14ac:dyDescent="0.2">
      <c r="A88">
        <v>25082356</v>
      </c>
      <c r="B88">
        <v>2</v>
      </c>
      <c r="C88" t="s">
        <v>1897</v>
      </c>
      <c r="D88" t="s">
        <v>1899</v>
      </c>
      <c r="E88" t="s">
        <v>146</v>
      </c>
      <c r="F88" t="s">
        <v>44</v>
      </c>
      <c r="G88" t="s">
        <v>1188</v>
      </c>
      <c r="H88" t="s">
        <v>1189</v>
      </c>
      <c r="I88" t="s">
        <v>8</v>
      </c>
      <c r="J88" t="s">
        <v>146</v>
      </c>
      <c r="L88" t="str">
        <f t="shared" si="1"/>
        <v>TP</v>
      </c>
    </row>
    <row r="89" spans="1:12" x14ac:dyDescent="0.2">
      <c r="A89">
        <v>25082356</v>
      </c>
      <c r="B89">
        <v>3</v>
      </c>
      <c r="C89" t="s">
        <v>1900</v>
      </c>
      <c r="D89" t="s">
        <v>1898</v>
      </c>
      <c r="F89" t="s">
        <v>38</v>
      </c>
      <c r="I89" t="s">
        <v>10</v>
      </c>
      <c r="L89" t="str">
        <f t="shared" si="1"/>
        <v/>
      </c>
    </row>
    <row r="90" spans="1:12" x14ac:dyDescent="0.2">
      <c r="A90">
        <v>25082356</v>
      </c>
      <c r="B90">
        <v>4</v>
      </c>
      <c r="C90" t="s">
        <v>1901</v>
      </c>
      <c r="D90" t="s">
        <v>1902</v>
      </c>
      <c r="E90" t="s">
        <v>146</v>
      </c>
      <c r="F90" t="s">
        <v>44</v>
      </c>
      <c r="I90" t="s">
        <v>10</v>
      </c>
      <c r="J90" t="s">
        <v>146</v>
      </c>
      <c r="L90" t="str">
        <f t="shared" si="1"/>
        <v>TP</v>
      </c>
    </row>
    <row r="91" spans="1:12" x14ac:dyDescent="0.2">
      <c r="A91">
        <v>25082356</v>
      </c>
      <c r="B91">
        <v>5</v>
      </c>
      <c r="C91" t="s">
        <v>1903</v>
      </c>
      <c r="D91" t="s">
        <v>1904</v>
      </c>
      <c r="E91" t="s">
        <v>146</v>
      </c>
      <c r="F91" t="s">
        <v>44</v>
      </c>
      <c r="I91" t="s">
        <v>10</v>
      </c>
      <c r="J91" t="s">
        <v>146</v>
      </c>
      <c r="L91" t="str">
        <f t="shared" si="1"/>
        <v>TP</v>
      </c>
    </row>
    <row r="92" spans="1:12" x14ac:dyDescent="0.2">
      <c r="A92">
        <v>25085576</v>
      </c>
      <c r="B92">
        <v>0</v>
      </c>
      <c r="C92" t="s">
        <v>1905</v>
      </c>
      <c r="D92" t="s">
        <v>57</v>
      </c>
      <c r="F92" t="s">
        <v>38</v>
      </c>
      <c r="I92" t="s">
        <v>169</v>
      </c>
      <c r="L92" t="str">
        <f t="shared" si="1"/>
        <v/>
      </c>
    </row>
    <row r="93" spans="1:12" x14ac:dyDescent="0.2">
      <c r="A93">
        <v>25085576</v>
      </c>
      <c r="B93">
        <v>1</v>
      </c>
      <c r="C93" t="s">
        <v>1906</v>
      </c>
      <c r="D93" t="s">
        <v>69</v>
      </c>
      <c r="F93" t="s">
        <v>38</v>
      </c>
      <c r="I93" t="s">
        <v>169</v>
      </c>
      <c r="L93" t="str">
        <f t="shared" si="1"/>
        <v/>
      </c>
    </row>
    <row r="94" spans="1:12" x14ac:dyDescent="0.2">
      <c r="A94">
        <v>25085576</v>
      </c>
      <c r="B94">
        <v>1</v>
      </c>
      <c r="C94" t="s">
        <v>1906</v>
      </c>
      <c r="D94" t="s">
        <v>24</v>
      </c>
      <c r="F94" t="s">
        <v>38</v>
      </c>
      <c r="I94" t="s">
        <v>169</v>
      </c>
      <c r="L94" t="str">
        <f t="shared" si="1"/>
        <v/>
      </c>
    </row>
    <row r="95" spans="1:12" x14ac:dyDescent="0.2">
      <c r="A95">
        <v>25085576</v>
      </c>
      <c r="B95">
        <v>2</v>
      </c>
      <c r="C95" t="s">
        <v>1907</v>
      </c>
      <c r="D95" t="s">
        <v>506</v>
      </c>
      <c r="F95" t="s">
        <v>38</v>
      </c>
      <c r="I95" t="s">
        <v>169</v>
      </c>
      <c r="L95" t="str">
        <f t="shared" si="1"/>
        <v/>
      </c>
    </row>
    <row r="96" spans="1:12" x14ac:dyDescent="0.2">
      <c r="A96">
        <v>25085576</v>
      </c>
      <c r="B96">
        <v>3</v>
      </c>
      <c r="C96" t="s">
        <v>1908</v>
      </c>
      <c r="D96" t="s">
        <v>57</v>
      </c>
      <c r="F96" t="s">
        <v>38</v>
      </c>
      <c r="I96" t="s">
        <v>169</v>
      </c>
      <c r="L96" t="str">
        <f t="shared" si="1"/>
        <v/>
      </c>
    </row>
    <row r="97" spans="1:12" x14ac:dyDescent="0.2">
      <c r="A97">
        <v>25085576</v>
      </c>
      <c r="B97">
        <v>4</v>
      </c>
      <c r="C97" t="s">
        <v>1909</v>
      </c>
      <c r="I97" t="s">
        <v>169</v>
      </c>
      <c r="L97" t="str">
        <f t="shared" si="1"/>
        <v/>
      </c>
    </row>
    <row r="98" spans="1:12" x14ac:dyDescent="0.2">
      <c r="A98">
        <v>25085576</v>
      </c>
      <c r="B98">
        <v>5</v>
      </c>
      <c r="C98" t="s">
        <v>1910</v>
      </c>
      <c r="D98" t="s">
        <v>1911</v>
      </c>
      <c r="F98" t="s">
        <v>38</v>
      </c>
      <c r="I98" t="s">
        <v>169</v>
      </c>
      <c r="L98" t="str">
        <f t="shared" si="1"/>
        <v/>
      </c>
    </row>
    <row r="99" spans="1:12" x14ac:dyDescent="0.2">
      <c r="A99">
        <v>25085576</v>
      </c>
      <c r="B99">
        <v>6</v>
      </c>
      <c r="C99" t="s">
        <v>1912</v>
      </c>
      <c r="D99" t="s">
        <v>1913</v>
      </c>
      <c r="E99" t="s">
        <v>146</v>
      </c>
      <c r="F99" t="s">
        <v>3</v>
      </c>
      <c r="I99" t="s">
        <v>10</v>
      </c>
      <c r="J99" t="s">
        <v>146</v>
      </c>
      <c r="L99" t="str">
        <f t="shared" si="1"/>
        <v>TP</v>
      </c>
    </row>
    <row r="100" spans="1:12" x14ac:dyDescent="0.2">
      <c r="A100">
        <v>25085576</v>
      </c>
      <c r="B100">
        <v>7</v>
      </c>
      <c r="C100" t="s">
        <v>1914</v>
      </c>
      <c r="I100" t="s">
        <v>169</v>
      </c>
      <c r="L100" t="str">
        <f t="shared" si="1"/>
        <v/>
      </c>
    </row>
    <row r="101" spans="1:12" x14ac:dyDescent="0.2">
      <c r="A101">
        <v>25085576</v>
      </c>
      <c r="B101">
        <v>8</v>
      </c>
      <c r="C101" t="s">
        <v>1915</v>
      </c>
      <c r="I101" t="s">
        <v>169</v>
      </c>
      <c r="L101" t="str">
        <f t="shared" si="1"/>
        <v/>
      </c>
    </row>
    <row r="102" spans="1:12" x14ac:dyDescent="0.2">
      <c r="A102">
        <v>25085576</v>
      </c>
      <c r="B102">
        <v>9</v>
      </c>
      <c r="C102" t="s">
        <v>1916</v>
      </c>
      <c r="D102" t="s">
        <v>57</v>
      </c>
      <c r="F102" t="s">
        <v>38</v>
      </c>
      <c r="I102" t="s">
        <v>169</v>
      </c>
      <c r="L102" t="str">
        <f t="shared" si="1"/>
        <v/>
      </c>
    </row>
    <row r="103" spans="1:12" x14ac:dyDescent="0.2">
      <c r="A103">
        <v>25085576</v>
      </c>
      <c r="B103">
        <v>10</v>
      </c>
      <c r="C103" t="s">
        <v>1917</v>
      </c>
      <c r="D103" t="s">
        <v>57</v>
      </c>
      <c r="F103" t="s">
        <v>38</v>
      </c>
      <c r="I103" t="s">
        <v>169</v>
      </c>
      <c r="L103" t="str">
        <f t="shared" si="1"/>
        <v/>
      </c>
    </row>
    <row r="104" spans="1:12" x14ac:dyDescent="0.2">
      <c r="A104">
        <v>25085576</v>
      </c>
      <c r="B104">
        <v>10</v>
      </c>
      <c r="C104" t="s">
        <v>1917</v>
      </c>
      <c r="D104" t="s">
        <v>85</v>
      </c>
      <c r="E104" t="s">
        <v>146</v>
      </c>
      <c r="F104" t="s">
        <v>3</v>
      </c>
      <c r="G104" t="s">
        <v>86</v>
      </c>
      <c r="H104" t="s">
        <v>85</v>
      </c>
      <c r="I104" t="s">
        <v>8</v>
      </c>
      <c r="J104" t="s">
        <v>146</v>
      </c>
      <c r="L104" t="str">
        <f t="shared" si="1"/>
        <v>TP</v>
      </c>
    </row>
    <row r="105" spans="1:12" x14ac:dyDescent="0.2">
      <c r="A105">
        <v>25085576</v>
      </c>
      <c r="B105">
        <v>10</v>
      </c>
      <c r="C105" t="s">
        <v>1917</v>
      </c>
      <c r="D105" t="s">
        <v>85</v>
      </c>
      <c r="E105" t="s">
        <v>146</v>
      </c>
      <c r="F105" t="s">
        <v>3</v>
      </c>
      <c r="G105" t="s">
        <v>86</v>
      </c>
      <c r="H105" t="s">
        <v>85</v>
      </c>
      <c r="I105" t="s">
        <v>8</v>
      </c>
      <c r="J105" t="s">
        <v>146</v>
      </c>
      <c r="L105" t="str">
        <f t="shared" si="1"/>
        <v>TP</v>
      </c>
    </row>
    <row r="106" spans="1:12" x14ac:dyDescent="0.2">
      <c r="A106">
        <v>25085576</v>
      </c>
      <c r="B106">
        <v>10</v>
      </c>
      <c r="C106" t="s">
        <v>1917</v>
      </c>
      <c r="D106" t="s">
        <v>1913</v>
      </c>
      <c r="E106" t="s">
        <v>146</v>
      </c>
      <c r="F106" t="s">
        <v>3</v>
      </c>
      <c r="I106" t="s">
        <v>10</v>
      </c>
      <c r="J106" t="s">
        <v>146</v>
      </c>
      <c r="L106" t="str">
        <f t="shared" si="1"/>
        <v>TP</v>
      </c>
    </row>
    <row r="107" spans="1:12" x14ac:dyDescent="0.2">
      <c r="A107">
        <v>25085576</v>
      </c>
      <c r="B107">
        <v>10</v>
      </c>
      <c r="C107" t="s">
        <v>1917</v>
      </c>
      <c r="D107" t="s">
        <v>74</v>
      </c>
      <c r="E107" t="s">
        <v>146</v>
      </c>
      <c r="F107" t="s">
        <v>3</v>
      </c>
      <c r="G107" t="s">
        <v>75</v>
      </c>
      <c r="H107" t="s">
        <v>74</v>
      </c>
      <c r="I107" t="s">
        <v>8</v>
      </c>
      <c r="J107" t="s">
        <v>146</v>
      </c>
      <c r="L107" t="str">
        <f t="shared" si="1"/>
        <v>TP</v>
      </c>
    </row>
    <row r="108" spans="1:12" x14ac:dyDescent="0.2">
      <c r="A108">
        <v>25085576</v>
      </c>
      <c r="B108">
        <v>10</v>
      </c>
      <c r="C108" t="s">
        <v>1917</v>
      </c>
      <c r="D108" t="s">
        <v>1918</v>
      </c>
      <c r="F108" t="s">
        <v>38</v>
      </c>
      <c r="I108" t="s">
        <v>169</v>
      </c>
      <c r="L108" t="str">
        <f t="shared" si="1"/>
        <v/>
      </c>
    </row>
    <row r="109" spans="1:12" x14ac:dyDescent="0.2">
      <c r="A109">
        <v>25085576</v>
      </c>
      <c r="B109">
        <v>11</v>
      </c>
      <c r="C109" t="s">
        <v>1919</v>
      </c>
      <c r="D109" t="s">
        <v>57</v>
      </c>
      <c r="F109" t="s">
        <v>38</v>
      </c>
      <c r="I109" t="s">
        <v>169</v>
      </c>
      <c r="L109" t="str">
        <f t="shared" si="1"/>
        <v/>
      </c>
    </row>
    <row r="110" spans="1:12" x14ac:dyDescent="0.2">
      <c r="A110">
        <v>25085576</v>
      </c>
      <c r="B110">
        <v>11</v>
      </c>
      <c r="C110" t="s">
        <v>1919</v>
      </c>
      <c r="D110" t="s">
        <v>57</v>
      </c>
      <c r="F110" t="s">
        <v>38</v>
      </c>
      <c r="I110" t="s">
        <v>169</v>
      </c>
      <c r="L110" t="str">
        <f t="shared" si="1"/>
        <v/>
      </c>
    </row>
    <row r="111" spans="1:12" x14ac:dyDescent="0.2">
      <c r="A111">
        <v>25085576</v>
      </c>
      <c r="B111">
        <v>12</v>
      </c>
      <c r="C111" t="s">
        <v>1920</v>
      </c>
      <c r="D111" t="s">
        <v>1921</v>
      </c>
      <c r="F111" t="s">
        <v>38</v>
      </c>
      <c r="I111" t="s">
        <v>169</v>
      </c>
      <c r="L111" t="str">
        <f t="shared" si="1"/>
        <v/>
      </c>
    </row>
    <row r="112" spans="1:12" x14ac:dyDescent="0.2">
      <c r="A112">
        <v>25085576</v>
      </c>
      <c r="B112">
        <v>13</v>
      </c>
      <c r="C112" t="s">
        <v>1922</v>
      </c>
      <c r="D112" t="s">
        <v>69</v>
      </c>
      <c r="F112" t="s">
        <v>38</v>
      </c>
      <c r="I112" t="s">
        <v>169</v>
      </c>
      <c r="L112" t="str">
        <f t="shared" si="1"/>
        <v/>
      </c>
    </row>
    <row r="113" spans="1:12" x14ac:dyDescent="0.2">
      <c r="A113">
        <v>25086069</v>
      </c>
      <c r="B113">
        <v>0</v>
      </c>
      <c r="C113" t="s">
        <v>1923</v>
      </c>
      <c r="I113" t="s">
        <v>169</v>
      </c>
      <c r="L113" t="str">
        <f t="shared" si="1"/>
        <v/>
      </c>
    </row>
    <row r="114" spans="1:12" x14ac:dyDescent="0.2">
      <c r="A114">
        <v>25086069</v>
      </c>
      <c r="B114">
        <v>1</v>
      </c>
      <c r="C114" t="s">
        <v>1924</v>
      </c>
      <c r="D114" t="s">
        <v>1925</v>
      </c>
      <c r="E114" t="s">
        <v>146</v>
      </c>
      <c r="F114" t="s">
        <v>44</v>
      </c>
      <c r="G114" t="s">
        <v>1926</v>
      </c>
      <c r="H114" t="s">
        <v>1927</v>
      </c>
      <c r="I114" t="s">
        <v>8</v>
      </c>
      <c r="J114" t="s">
        <v>146</v>
      </c>
      <c r="L114" t="str">
        <f t="shared" si="1"/>
        <v>TP</v>
      </c>
    </row>
    <row r="115" spans="1:12" x14ac:dyDescent="0.2">
      <c r="A115">
        <v>25086069</v>
      </c>
      <c r="B115">
        <v>1</v>
      </c>
      <c r="C115" t="s">
        <v>1924</v>
      </c>
      <c r="D115" t="s">
        <v>1928</v>
      </c>
      <c r="E115" t="s">
        <v>146</v>
      </c>
      <c r="F115" t="s">
        <v>61</v>
      </c>
      <c r="I115" t="s">
        <v>10</v>
      </c>
      <c r="J115" t="s">
        <v>146</v>
      </c>
      <c r="L115" t="str">
        <f t="shared" si="1"/>
        <v>TP</v>
      </c>
    </row>
    <row r="116" spans="1:12" x14ac:dyDescent="0.2">
      <c r="A116">
        <v>25086069</v>
      </c>
      <c r="B116">
        <v>2</v>
      </c>
      <c r="C116" t="s">
        <v>1929</v>
      </c>
      <c r="I116" t="s">
        <v>169</v>
      </c>
      <c r="L116" t="str">
        <f t="shared" si="1"/>
        <v/>
      </c>
    </row>
    <row r="117" spans="1:12" x14ac:dyDescent="0.2">
      <c r="A117">
        <v>25086069</v>
      </c>
      <c r="B117">
        <v>3</v>
      </c>
      <c r="C117" t="s">
        <v>1930</v>
      </c>
      <c r="D117" t="s">
        <v>1931</v>
      </c>
      <c r="E117" t="s">
        <v>167</v>
      </c>
      <c r="F117" t="s">
        <v>44</v>
      </c>
      <c r="G117" t="s">
        <v>296</v>
      </c>
      <c r="H117" t="s">
        <v>295</v>
      </c>
      <c r="I117" t="s">
        <v>8</v>
      </c>
      <c r="J117" t="s">
        <v>167</v>
      </c>
      <c r="L117" t="str">
        <f t="shared" si="1"/>
        <v>FP</v>
      </c>
    </row>
    <row r="118" spans="1:12" x14ac:dyDescent="0.2">
      <c r="A118">
        <v>25086069</v>
      </c>
      <c r="B118">
        <v>3</v>
      </c>
      <c r="C118" t="s">
        <v>1930</v>
      </c>
      <c r="D118" t="s">
        <v>1932</v>
      </c>
      <c r="E118" t="s">
        <v>167</v>
      </c>
      <c r="F118" t="s">
        <v>44</v>
      </c>
      <c r="G118" t="s">
        <v>296</v>
      </c>
      <c r="H118" t="s">
        <v>295</v>
      </c>
      <c r="I118" t="s">
        <v>8</v>
      </c>
      <c r="J118" t="s">
        <v>167</v>
      </c>
      <c r="L118" t="str">
        <f t="shared" si="1"/>
        <v>FP</v>
      </c>
    </row>
    <row r="119" spans="1:12" x14ac:dyDescent="0.2">
      <c r="A119">
        <v>25086069</v>
      </c>
      <c r="B119">
        <v>4</v>
      </c>
      <c r="C119" t="s">
        <v>1933</v>
      </c>
      <c r="D119" t="s">
        <v>1934</v>
      </c>
      <c r="E119" t="s">
        <v>167</v>
      </c>
      <c r="F119" t="s">
        <v>44</v>
      </c>
      <c r="G119" t="s">
        <v>296</v>
      </c>
      <c r="H119" t="s">
        <v>295</v>
      </c>
      <c r="I119" t="s">
        <v>8</v>
      </c>
      <c r="J119" t="s">
        <v>167</v>
      </c>
      <c r="L119" t="str">
        <f t="shared" si="1"/>
        <v>FP</v>
      </c>
    </row>
    <row r="120" spans="1:12" x14ac:dyDescent="0.2">
      <c r="A120">
        <v>25086069</v>
      </c>
      <c r="B120">
        <v>5</v>
      </c>
      <c r="C120" t="s">
        <v>1935</v>
      </c>
      <c r="I120" t="s">
        <v>169</v>
      </c>
      <c r="L120" t="str">
        <f t="shared" si="1"/>
        <v/>
      </c>
    </row>
    <row r="121" spans="1:12" x14ac:dyDescent="0.2">
      <c r="A121">
        <v>25086069</v>
      </c>
      <c r="B121">
        <v>6</v>
      </c>
      <c r="C121" t="s">
        <v>1936</v>
      </c>
      <c r="I121" t="s">
        <v>169</v>
      </c>
      <c r="L121" t="str">
        <f t="shared" si="1"/>
        <v/>
      </c>
    </row>
    <row r="122" spans="1:12" x14ac:dyDescent="0.2">
      <c r="A122">
        <v>25086069</v>
      </c>
      <c r="B122">
        <v>7</v>
      </c>
      <c r="C122" t="s">
        <v>1937</v>
      </c>
      <c r="D122" t="s">
        <v>1934</v>
      </c>
      <c r="E122" t="s">
        <v>167</v>
      </c>
      <c r="F122" t="s">
        <v>44</v>
      </c>
      <c r="G122" t="s">
        <v>296</v>
      </c>
      <c r="H122" t="s">
        <v>295</v>
      </c>
      <c r="I122" t="s">
        <v>8</v>
      </c>
      <c r="J122" t="s">
        <v>167</v>
      </c>
      <c r="L122" t="str">
        <f t="shared" si="1"/>
        <v>FP</v>
      </c>
    </row>
    <row r="123" spans="1:12" x14ac:dyDescent="0.2">
      <c r="A123">
        <v>25086069</v>
      </c>
      <c r="B123">
        <v>8</v>
      </c>
      <c r="C123" t="s">
        <v>1938</v>
      </c>
      <c r="I123" t="s">
        <v>169</v>
      </c>
      <c r="L123" t="str">
        <f t="shared" si="1"/>
        <v/>
      </c>
    </row>
    <row r="124" spans="1:12" x14ac:dyDescent="0.2">
      <c r="A124">
        <v>25086069</v>
      </c>
      <c r="B124">
        <v>9</v>
      </c>
      <c r="C124" t="s">
        <v>1939</v>
      </c>
      <c r="D124" t="s">
        <v>1925</v>
      </c>
      <c r="E124" t="s">
        <v>146</v>
      </c>
      <c r="F124" t="s">
        <v>44</v>
      </c>
      <c r="G124" t="s">
        <v>1926</v>
      </c>
      <c r="H124" t="s">
        <v>1927</v>
      </c>
      <c r="I124" t="s">
        <v>8</v>
      </c>
      <c r="J124" t="s">
        <v>146</v>
      </c>
      <c r="L124" t="str">
        <f t="shared" si="1"/>
        <v>TP</v>
      </c>
    </row>
    <row r="125" spans="1:12" x14ac:dyDescent="0.2">
      <c r="A125">
        <v>25086069</v>
      </c>
      <c r="B125">
        <v>9</v>
      </c>
      <c r="C125" t="s">
        <v>1939</v>
      </c>
      <c r="D125" t="s">
        <v>1940</v>
      </c>
      <c r="E125" t="s">
        <v>146</v>
      </c>
      <c r="F125" t="s">
        <v>61</v>
      </c>
      <c r="I125" t="s">
        <v>10</v>
      </c>
      <c r="J125" t="s">
        <v>146</v>
      </c>
      <c r="L125" t="str">
        <f t="shared" si="1"/>
        <v>TP</v>
      </c>
    </row>
    <row r="126" spans="1:12" x14ac:dyDescent="0.2">
      <c r="A126">
        <v>25086069</v>
      </c>
      <c r="B126">
        <v>10</v>
      </c>
      <c r="C126" t="s">
        <v>1941</v>
      </c>
      <c r="I126" t="s">
        <v>169</v>
      </c>
      <c r="L126" t="str">
        <f t="shared" si="1"/>
        <v/>
      </c>
    </row>
    <row r="127" spans="1:12" x14ac:dyDescent="0.2">
      <c r="A127">
        <v>25086628</v>
      </c>
      <c r="B127">
        <v>0</v>
      </c>
      <c r="C127" t="s">
        <v>1942</v>
      </c>
      <c r="I127" t="s">
        <v>169</v>
      </c>
      <c r="L127" t="str">
        <f t="shared" si="1"/>
        <v/>
      </c>
    </row>
    <row r="128" spans="1:12" x14ac:dyDescent="0.2">
      <c r="A128">
        <v>25086628</v>
      </c>
      <c r="B128">
        <v>1</v>
      </c>
      <c r="C128" t="s">
        <v>1943</v>
      </c>
      <c r="D128" t="s">
        <v>1676</v>
      </c>
      <c r="F128" t="s">
        <v>38</v>
      </c>
      <c r="I128" t="s">
        <v>10</v>
      </c>
      <c r="L128" t="str">
        <f t="shared" si="1"/>
        <v/>
      </c>
    </row>
    <row r="129" spans="1:13" x14ac:dyDescent="0.2">
      <c r="A129">
        <v>25086628</v>
      </c>
      <c r="B129">
        <v>2</v>
      </c>
      <c r="C129" t="s">
        <v>1944</v>
      </c>
      <c r="D129" t="s">
        <v>1945</v>
      </c>
      <c r="E129" t="s">
        <v>146</v>
      </c>
      <c r="F129" t="s">
        <v>61</v>
      </c>
      <c r="I129" t="s">
        <v>10</v>
      </c>
      <c r="J129" t="s">
        <v>146</v>
      </c>
      <c r="L129" t="str">
        <f t="shared" si="1"/>
        <v>TP</v>
      </c>
    </row>
    <row r="130" spans="1:13" x14ac:dyDescent="0.2">
      <c r="A130">
        <v>25086628</v>
      </c>
      <c r="B130">
        <v>2</v>
      </c>
      <c r="C130" t="s">
        <v>1944</v>
      </c>
      <c r="D130" t="s">
        <v>1946</v>
      </c>
      <c r="F130" t="s">
        <v>38</v>
      </c>
      <c r="I130" t="s">
        <v>10</v>
      </c>
      <c r="L130" t="str">
        <f t="shared" si="1"/>
        <v/>
      </c>
    </row>
    <row r="131" spans="1:13" x14ac:dyDescent="0.2">
      <c r="A131">
        <v>25086628</v>
      </c>
      <c r="B131">
        <v>3</v>
      </c>
      <c r="C131" t="s">
        <v>1947</v>
      </c>
      <c r="D131" t="s">
        <v>1948</v>
      </c>
      <c r="F131" t="s">
        <v>38</v>
      </c>
      <c r="I131" t="s">
        <v>10</v>
      </c>
      <c r="L131" t="str">
        <f t="shared" ref="L131:L143" si="2">IF(OR(E131="FP",J131="FP"),"FP",IF(AND(E131="TP",J131="TP"),"TP",""))</f>
        <v/>
      </c>
    </row>
    <row r="132" spans="1:13" x14ac:dyDescent="0.2">
      <c r="A132">
        <v>25086628</v>
      </c>
      <c r="B132">
        <v>4</v>
      </c>
      <c r="C132" t="s">
        <v>1949</v>
      </c>
      <c r="D132" t="s">
        <v>1946</v>
      </c>
      <c r="F132" t="s">
        <v>38</v>
      </c>
      <c r="I132" t="s">
        <v>10</v>
      </c>
      <c r="L132" t="str">
        <f t="shared" si="2"/>
        <v/>
      </c>
    </row>
    <row r="133" spans="1:13" x14ac:dyDescent="0.2">
      <c r="A133">
        <v>25086628</v>
      </c>
      <c r="B133">
        <v>4</v>
      </c>
      <c r="C133" t="s">
        <v>1949</v>
      </c>
      <c r="D133" t="s">
        <v>1950</v>
      </c>
      <c r="F133" t="s">
        <v>38</v>
      </c>
      <c r="I133" t="s">
        <v>10</v>
      </c>
      <c r="L133" t="str">
        <f t="shared" si="2"/>
        <v/>
      </c>
    </row>
    <row r="134" spans="1:13" x14ac:dyDescent="0.2">
      <c r="A134">
        <v>25086628</v>
      </c>
      <c r="B134">
        <v>5</v>
      </c>
      <c r="C134" t="s">
        <v>1951</v>
      </c>
      <c r="D134" t="s">
        <v>491</v>
      </c>
      <c r="E134" t="s">
        <v>146</v>
      </c>
      <c r="F134" t="s">
        <v>61</v>
      </c>
      <c r="J134" t="s">
        <v>146</v>
      </c>
      <c r="L134" t="str">
        <f t="shared" si="2"/>
        <v>TP</v>
      </c>
    </row>
    <row r="135" spans="1:13" x14ac:dyDescent="0.2">
      <c r="A135">
        <v>25086628</v>
      </c>
      <c r="B135">
        <v>6</v>
      </c>
      <c r="C135" t="s">
        <v>1952</v>
      </c>
      <c r="D135" t="s">
        <v>1186</v>
      </c>
      <c r="F135" t="s">
        <v>38</v>
      </c>
      <c r="L135" t="str">
        <f t="shared" si="2"/>
        <v/>
      </c>
    </row>
    <row r="136" spans="1:13" x14ac:dyDescent="0.2">
      <c r="A136">
        <v>25086628</v>
      </c>
      <c r="B136">
        <v>6</v>
      </c>
      <c r="C136" t="s">
        <v>1952</v>
      </c>
      <c r="D136" t="s">
        <v>1186</v>
      </c>
      <c r="F136" t="s">
        <v>38</v>
      </c>
      <c r="L136" t="str">
        <f t="shared" si="2"/>
        <v/>
      </c>
    </row>
    <row r="137" spans="1:13" x14ac:dyDescent="0.2">
      <c r="A137">
        <v>25086628</v>
      </c>
      <c r="B137">
        <v>7</v>
      </c>
      <c r="C137" t="s">
        <v>1953</v>
      </c>
      <c r="D137" t="s">
        <v>1656</v>
      </c>
      <c r="F137" t="s">
        <v>38</v>
      </c>
      <c r="L137" t="str">
        <f t="shared" si="2"/>
        <v/>
      </c>
    </row>
    <row r="138" spans="1:13" x14ac:dyDescent="0.2">
      <c r="A138">
        <v>25086628</v>
      </c>
      <c r="B138">
        <v>8</v>
      </c>
      <c r="C138" t="s">
        <v>1954</v>
      </c>
      <c r="D138" t="s">
        <v>1656</v>
      </c>
      <c r="F138" t="s">
        <v>38</v>
      </c>
      <c r="L138" t="str">
        <f t="shared" si="2"/>
        <v/>
      </c>
    </row>
    <row r="139" spans="1:13" x14ac:dyDescent="0.2">
      <c r="A139">
        <v>25086628</v>
      </c>
      <c r="B139">
        <v>9</v>
      </c>
      <c r="C139" t="s">
        <v>1955</v>
      </c>
      <c r="D139" t="s">
        <v>1299</v>
      </c>
      <c r="F139" t="s">
        <v>38</v>
      </c>
      <c r="I139" t="s">
        <v>10</v>
      </c>
      <c r="L139" t="str">
        <f t="shared" si="2"/>
        <v/>
      </c>
    </row>
    <row r="140" spans="1:13" x14ac:dyDescent="0.2">
      <c r="A140">
        <v>25100062</v>
      </c>
      <c r="B140">
        <v>0</v>
      </c>
      <c r="C140" t="s">
        <v>1956</v>
      </c>
      <c r="G140" t="s">
        <v>1957</v>
      </c>
      <c r="H140" t="s">
        <v>1958</v>
      </c>
      <c r="I140" t="s">
        <v>8</v>
      </c>
      <c r="L140" t="str">
        <f t="shared" si="2"/>
        <v/>
      </c>
    </row>
    <row r="141" spans="1:13" x14ac:dyDescent="0.2">
      <c r="A141">
        <v>25100062</v>
      </c>
      <c r="B141">
        <v>1</v>
      </c>
      <c r="C141" t="s">
        <v>1959</v>
      </c>
      <c r="D141" t="s">
        <v>1960</v>
      </c>
      <c r="E141" t="s">
        <v>146</v>
      </c>
      <c r="F141" t="s">
        <v>61</v>
      </c>
      <c r="I141" t="s">
        <v>10</v>
      </c>
      <c r="J141" t="s">
        <v>146</v>
      </c>
      <c r="K141" t="s">
        <v>1958</v>
      </c>
      <c r="L141" t="str">
        <f t="shared" si="2"/>
        <v>TP</v>
      </c>
      <c r="M141" t="s">
        <v>1975</v>
      </c>
    </row>
    <row r="142" spans="1:13" x14ac:dyDescent="0.2">
      <c r="A142">
        <v>25100062</v>
      </c>
      <c r="B142">
        <v>2</v>
      </c>
      <c r="C142" t="s">
        <v>1961</v>
      </c>
      <c r="G142" t="s">
        <v>1957</v>
      </c>
      <c r="H142" t="s">
        <v>1958</v>
      </c>
      <c r="I142" t="s">
        <v>8</v>
      </c>
      <c r="L142" t="str">
        <f t="shared" si="2"/>
        <v/>
      </c>
    </row>
    <row r="143" spans="1:13" x14ac:dyDescent="0.2">
      <c r="A143">
        <v>25100062</v>
      </c>
      <c r="B143">
        <v>3</v>
      </c>
      <c r="C143" t="s">
        <v>1962</v>
      </c>
      <c r="D143" t="s">
        <v>1963</v>
      </c>
      <c r="E143" t="s">
        <v>146</v>
      </c>
      <c r="F143" t="s">
        <v>61</v>
      </c>
      <c r="G143" t="s">
        <v>1957</v>
      </c>
      <c r="H143" t="s">
        <v>1958</v>
      </c>
      <c r="I143" t="s">
        <v>8</v>
      </c>
      <c r="J143" t="s">
        <v>146</v>
      </c>
      <c r="L143" t="str">
        <f t="shared" si="2"/>
        <v>TP</v>
      </c>
    </row>
  </sheetData>
  <autoFilter ref="A1:L143" xr:uid="{96835024-5B05-7A41-B87C-D63B6ED9017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59DD8-EEB2-4249-9D1C-C462070FD9D9}">
  <dimension ref="A1:B12"/>
  <sheetViews>
    <sheetView topLeftCell="A6" zoomScale="117" workbookViewId="0">
      <selection activeCell="B12" sqref="B12"/>
    </sheetView>
  </sheetViews>
  <sheetFormatPr baseColWidth="10" defaultRowHeight="16" x14ac:dyDescent="0.2"/>
  <sheetData>
    <row r="1" spans="1:2" x14ac:dyDescent="0.2">
      <c r="A1" s="4" t="s">
        <v>61</v>
      </c>
    </row>
    <row r="2" spans="1:2" x14ac:dyDescent="0.2">
      <c r="A2" t="s">
        <v>1976</v>
      </c>
      <c r="B2" t="s">
        <v>1989</v>
      </c>
    </row>
    <row r="3" spans="1:2" x14ac:dyDescent="0.2">
      <c r="A3" t="s">
        <v>1977</v>
      </c>
      <c r="B3" t="s">
        <v>1981</v>
      </c>
    </row>
    <row r="4" spans="1:2" x14ac:dyDescent="0.2">
      <c r="A4" t="s">
        <v>1980</v>
      </c>
      <c r="B4" t="s">
        <v>1983</v>
      </c>
    </row>
    <row r="5" spans="1:2" x14ac:dyDescent="0.2">
      <c r="A5" t="s">
        <v>1984</v>
      </c>
      <c r="B5" t="s">
        <v>1985</v>
      </c>
    </row>
    <row r="6" spans="1:2" x14ac:dyDescent="0.2">
      <c r="A6" t="s">
        <v>1987</v>
      </c>
      <c r="B6" t="s">
        <v>1988</v>
      </c>
    </row>
    <row r="9" spans="1:2" x14ac:dyDescent="0.2">
      <c r="A9" s="4" t="s">
        <v>1990</v>
      </c>
    </row>
    <row r="10" spans="1:2" x14ac:dyDescent="0.2">
      <c r="A10" t="s">
        <v>1976</v>
      </c>
      <c r="B10" t="s">
        <v>1994</v>
      </c>
    </row>
    <row r="11" spans="1:2" x14ac:dyDescent="0.2">
      <c r="A11" t="s">
        <v>1977</v>
      </c>
      <c r="B11" t="s">
        <v>1995</v>
      </c>
    </row>
    <row r="12" spans="1:2" x14ac:dyDescent="0.2">
      <c r="A12" t="s">
        <v>1980</v>
      </c>
      <c r="B12" t="s">
        <v>1996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86EA2-3D2B-1541-B932-D959C171751E}">
  <dimension ref="A1:Q24"/>
  <sheetViews>
    <sheetView zoomScale="94" workbookViewId="0">
      <selection activeCell="J22" sqref="J22"/>
    </sheetView>
  </sheetViews>
  <sheetFormatPr baseColWidth="10" defaultRowHeight="16" x14ac:dyDescent="0.2"/>
  <sheetData>
    <row r="1" spans="1:17" x14ac:dyDescent="0.2">
      <c r="B1" t="s">
        <v>146</v>
      </c>
      <c r="C1" t="s">
        <v>167</v>
      </c>
      <c r="D1" t="s">
        <v>562</v>
      </c>
      <c r="E1" t="s">
        <v>563</v>
      </c>
      <c r="F1" t="s">
        <v>564</v>
      </c>
      <c r="G1" t="s">
        <v>565</v>
      </c>
    </row>
    <row r="2" spans="1:17" x14ac:dyDescent="0.2">
      <c r="A2" t="s">
        <v>560</v>
      </c>
      <c r="B2">
        <v>52</v>
      </c>
      <c r="C2">
        <v>2</v>
      </c>
      <c r="D2">
        <v>3</v>
      </c>
      <c r="E2" s="20">
        <f>(B2/(B2+C2)*100)</f>
        <v>96.296296296296291</v>
      </c>
      <c r="F2" s="20">
        <f>(B2/(B2+D2)*100)</f>
        <v>94.545454545454547</v>
      </c>
      <c r="G2" s="20">
        <f>(2*E2*F2)/(E2+F2)</f>
        <v>95.412844036697251</v>
      </c>
    </row>
    <row r="3" spans="1:17" x14ac:dyDescent="0.2">
      <c r="A3" t="s">
        <v>561</v>
      </c>
      <c r="B3">
        <v>237</v>
      </c>
      <c r="C3">
        <v>7</v>
      </c>
      <c r="D3">
        <v>23</v>
      </c>
      <c r="E3" s="20">
        <f t="shared" ref="E3:E9" si="0">(B3/(B3+C3)*100)</f>
        <v>97.131147540983605</v>
      </c>
      <c r="F3" s="20">
        <f t="shared" ref="F3:F9" si="1">(B3/(B3+D3)*100)</f>
        <v>91.153846153846146</v>
      </c>
      <c r="G3" s="20">
        <f t="shared" ref="G3:G9" si="2">(2*E3*F3)/(E3+F3)</f>
        <v>94.047619047619037</v>
      </c>
    </row>
    <row r="4" spans="1:17" x14ac:dyDescent="0.2">
      <c r="A4" s="4" t="s">
        <v>566</v>
      </c>
      <c r="B4" s="4">
        <v>289</v>
      </c>
      <c r="C4" s="4">
        <v>9</v>
      </c>
      <c r="D4" s="4">
        <v>26</v>
      </c>
      <c r="E4" s="20">
        <f t="shared" si="0"/>
        <v>96.979865771812086</v>
      </c>
      <c r="F4" s="20">
        <f t="shared" si="1"/>
        <v>91.746031746031747</v>
      </c>
      <c r="G4" s="20">
        <f t="shared" si="2"/>
        <v>94.290375203915161</v>
      </c>
    </row>
    <row r="5" spans="1:17" x14ac:dyDescent="0.2">
      <c r="A5" s="4" t="s">
        <v>1116</v>
      </c>
      <c r="B5" s="4">
        <v>359</v>
      </c>
      <c r="C5" s="4">
        <v>9</v>
      </c>
      <c r="D5" s="4">
        <v>41</v>
      </c>
      <c r="E5" s="20">
        <f t="shared" si="0"/>
        <v>97.554347826086953</v>
      </c>
      <c r="F5" s="20">
        <f t="shared" si="1"/>
        <v>89.75</v>
      </c>
      <c r="G5" s="20">
        <f t="shared" si="2"/>
        <v>93.489583333333343</v>
      </c>
    </row>
    <row r="6" spans="1:17" x14ac:dyDescent="0.2">
      <c r="A6" t="s">
        <v>1117</v>
      </c>
      <c r="B6">
        <v>648</v>
      </c>
      <c r="C6">
        <v>18</v>
      </c>
      <c r="D6">
        <v>67</v>
      </c>
      <c r="E6" s="20">
        <f t="shared" si="0"/>
        <v>97.297297297297305</v>
      </c>
      <c r="F6" s="20">
        <f t="shared" si="1"/>
        <v>90.629370629370626</v>
      </c>
      <c r="G6" s="20">
        <f t="shared" si="2"/>
        <v>93.845039826212897</v>
      </c>
    </row>
    <row r="7" spans="1:17" x14ac:dyDescent="0.2">
      <c r="A7" s="4" t="s">
        <v>1119</v>
      </c>
      <c r="B7" s="4">
        <v>197</v>
      </c>
      <c r="C7" s="4">
        <v>27</v>
      </c>
      <c r="D7" s="4">
        <v>21</v>
      </c>
      <c r="E7" s="20">
        <f t="shared" si="0"/>
        <v>87.946428571428569</v>
      </c>
      <c r="F7" s="20">
        <f t="shared" si="1"/>
        <v>90.366972477064223</v>
      </c>
      <c r="G7" s="20">
        <f t="shared" si="2"/>
        <v>89.14027149321268</v>
      </c>
    </row>
    <row r="8" spans="1:17" x14ac:dyDescent="0.2">
      <c r="A8" s="4" t="s">
        <v>1973</v>
      </c>
      <c r="B8" s="4">
        <v>58</v>
      </c>
      <c r="C8" s="4">
        <v>7</v>
      </c>
      <c r="D8" s="4">
        <v>16</v>
      </c>
      <c r="E8" s="20">
        <f t="shared" si="0"/>
        <v>89.230769230769241</v>
      </c>
      <c r="F8" s="20">
        <f t="shared" si="1"/>
        <v>78.378378378378372</v>
      </c>
      <c r="G8" s="20">
        <f t="shared" si="2"/>
        <v>83.453237410071935</v>
      </c>
    </row>
    <row r="9" spans="1:17" x14ac:dyDescent="0.2">
      <c r="A9" s="4" t="s">
        <v>1117</v>
      </c>
      <c r="B9" s="4">
        <v>903</v>
      </c>
      <c r="C9" s="4">
        <v>52</v>
      </c>
      <c r="D9" s="4">
        <v>104</v>
      </c>
      <c r="E9" s="20">
        <f t="shared" si="0"/>
        <v>94.554973821989535</v>
      </c>
      <c r="F9" s="20">
        <f t="shared" si="1"/>
        <v>89.672293942403186</v>
      </c>
      <c r="G9" s="20">
        <f t="shared" si="2"/>
        <v>92.048929663608575</v>
      </c>
    </row>
    <row r="11" spans="1:17" x14ac:dyDescent="0.2">
      <c r="O11" t="s">
        <v>563</v>
      </c>
      <c r="P11" t="s">
        <v>564</v>
      </c>
      <c r="Q11" t="s">
        <v>565</v>
      </c>
    </row>
    <row r="12" spans="1:17" x14ac:dyDescent="0.2">
      <c r="K12" s="4" t="s">
        <v>44</v>
      </c>
      <c r="L12" s="4">
        <v>359</v>
      </c>
      <c r="M12" s="4">
        <v>35</v>
      </c>
      <c r="N12" s="4">
        <v>32</v>
      </c>
      <c r="O12" s="18">
        <f>(L12/(L12+M12))*100</f>
        <v>91.116751269035532</v>
      </c>
      <c r="P12" s="18">
        <f>(L12/(L12+N12))*100</f>
        <v>91.815856777493607</v>
      </c>
      <c r="Q12" s="18">
        <f>(2*O12*P12)/(O12+P12)</f>
        <v>91.464968152866234</v>
      </c>
    </row>
    <row r="13" spans="1:17" x14ac:dyDescent="0.2">
      <c r="K13" s="4" t="s">
        <v>3</v>
      </c>
      <c r="L13" s="4">
        <v>338</v>
      </c>
      <c r="M13" s="4">
        <v>4</v>
      </c>
      <c r="N13" s="4">
        <v>30</v>
      </c>
      <c r="O13" s="18">
        <f t="shared" ref="O13:O16" si="3">(L13/(L13+M13))*100</f>
        <v>98.830409356725141</v>
      </c>
      <c r="P13" s="18">
        <f t="shared" ref="P13:P16" si="4">(L13/(L13+N13))*100</f>
        <v>91.847826086956516</v>
      </c>
      <c r="Q13" s="18">
        <f t="shared" ref="Q13:Q16" si="5">(2*O13*P13)/(O13+P13)</f>
        <v>95.211267605633793</v>
      </c>
    </row>
    <row r="14" spans="1:17" x14ac:dyDescent="0.2">
      <c r="K14" s="4" t="s">
        <v>99</v>
      </c>
      <c r="L14" s="4">
        <v>75</v>
      </c>
      <c r="M14" s="4">
        <v>14</v>
      </c>
      <c r="N14" s="4">
        <v>21</v>
      </c>
      <c r="O14" s="18">
        <f t="shared" si="3"/>
        <v>84.269662921348313</v>
      </c>
      <c r="P14" s="18">
        <f t="shared" si="4"/>
        <v>78.125</v>
      </c>
      <c r="Q14" s="18">
        <f t="shared" si="5"/>
        <v>81.081081081081095</v>
      </c>
    </row>
    <row r="15" spans="1:17" x14ac:dyDescent="0.2">
      <c r="K15" s="4" t="s">
        <v>61</v>
      </c>
      <c r="L15" s="4">
        <v>123</v>
      </c>
      <c r="M15" s="4">
        <v>0</v>
      </c>
      <c r="N15" s="4">
        <v>21</v>
      </c>
      <c r="O15" s="18">
        <f t="shared" si="3"/>
        <v>100</v>
      </c>
      <c r="P15" s="18">
        <f t="shared" si="4"/>
        <v>85.416666666666657</v>
      </c>
      <c r="Q15" s="18">
        <f t="shared" si="5"/>
        <v>92.13483146067415</v>
      </c>
    </row>
    <row r="16" spans="1:17" x14ac:dyDescent="0.2">
      <c r="K16" s="4" t="s">
        <v>605</v>
      </c>
      <c r="L16" s="4">
        <v>8</v>
      </c>
      <c r="M16" s="4">
        <v>0</v>
      </c>
      <c r="N16" s="4">
        <v>0</v>
      </c>
      <c r="O16" s="18">
        <f t="shared" si="3"/>
        <v>100</v>
      </c>
      <c r="P16" s="18">
        <f t="shared" si="4"/>
        <v>100</v>
      </c>
      <c r="Q16" s="18">
        <f t="shared" si="5"/>
        <v>100</v>
      </c>
    </row>
    <row r="24" spans="5:7" x14ac:dyDescent="0.2">
      <c r="E24" s="4"/>
      <c r="F24" s="4"/>
      <c r="G2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Set1_5Abs</vt:lpstr>
      <vt:lpstr>Set1_Annot_rests</vt:lpstr>
      <vt:lpstr>Set2</vt:lpstr>
      <vt:lpstr>Rahi</vt:lpstr>
      <vt:lpstr>10_abstracts</vt:lpstr>
      <vt:lpstr>Error</vt:lpstr>
      <vt:lpstr>P R F1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Bhowmik, Shovan</dc:creator>
  <cp:lastModifiedBy>Bhowmik, Shovan</cp:lastModifiedBy>
  <dcterms:created xsi:type="dcterms:W3CDTF">2026-07-07T15:15:21Z</dcterms:created>
  <dcterms:modified xsi:type="dcterms:W3CDTF">2026-10-02T12:12:00Z</dcterms:modified>
</cp:coreProperties>
</file>